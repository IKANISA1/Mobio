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00b202e2b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d054f4bb4b0467b"/>
    <x:sheet xmlns:r="http://schemas.openxmlformats.org/officeDocument/2006/relationships" name="All 95 tasks" sheetId="2" r:id="R93d19477e18b42b1"/>
    <x:sheet xmlns:r="http://schemas.openxmlformats.org/officeDocument/2006/relationships" name="Verification" sheetId="3" r:id="R0dbaa852c7a747ce"/>
    <x:sheet xmlns:r="http://schemas.openxmlformats.org/officeDocument/2006/relationships" name="Sources" sheetId="4" r:id="R4aa8593d069541ca"/>
    <x:sheet xmlns:r="http://schemas.openxmlformats.org/officeDocument/2006/relationships" name="Original audit criteria" sheetId="5" r:id="Rc4d2293a885d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8"/>
      <x:color rgb="FFFFFFFF"/>
      <x:name val="Aptos"/>
    </x:font>
    <x:font>
      <x:sz val="10"/>
      <x:color rgb="FF142D4E"/>
      <x:name val="Aptos"/>
    </x:font>
    <x:font>
      <x:b/>
      <x:sz val="10"/>
      <x:color rgb="FFFFFFFF"/>
      <x:name val="Aptos"/>
    </x:font>
    <x:font>
      <x:b/>
      <x:sz val="28"/>
      <x:color rgb="FF142D4E"/>
      <x:name val="Aptos"/>
    </x:font>
    <x:font>
      <x:b/>
      <x:sz val="9"/>
      <x:color rgb="FFFFFFFF"/>
      <x:name val="Aptos"/>
    </x:font>
    <x:font>
      <x:b/>
      <x:sz val="10"/>
      <x:color rgb="FF142D4E"/>
      <x:name val="Aptos"/>
    </x:font>
    <x:font>
      <x:sz val="11"/>
      <x:color rgb="FF142D4E"/>
      <x:name val="Aptos"/>
    </x:font>
    <x:font>
      <x:sz val="9"/>
      <x:color rgb="FF51627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42D4E"/>
      </x:patternFill>
    </x:fill>
    <x:fill>
      <x:patternFill patternType="solid">
        <x:fgColor rgb="FFEFF4F8"/>
      </x:patternFill>
    </x:fill>
    <x:fill>
      <x:patternFill patternType="solid">
        <x:fgColor rgb="FF245D8F"/>
      </x:patternFill>
    </x:fill>
    <x:fill>
      <x:patternFill patternType="solid">
        <x:fgColor rgb="FFFFF0D5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horizontal="center" vertical="top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horizontal="center" vertical="top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/>
    </x:xf>
    <x:xf numFmtId="0" fontId="7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/>
    </x:xf>
    <x:xf numFmtId="0" fontId="8" fillId="5" borderId="0" xfId="0" applyNumberFormat="1" applyFont="1" applyFill="1" applyBorder="1" applyAlignment="1">
      <x:alignment vertical="top"/>
    </x:xf>
    <x:xf numFmtId="0" fontId="8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/>
    </x:xf>
    <x:xf numFmtId="0" fontId="8" fillId="5" borderId="1" xfId="0" applyNumberFormat="1" applyFont="1" applyFill="1" applyBorder="1" applyAlignment="1">
      <x:alignment vertical="top"/>
    </x:xf>
    <x:xf numFmtId="0" fontId="8" fillId="5" borderId="1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/>
    </x:xf>
    <x:xf numFmtId="0" fontId="9" fillId="3" borderId="1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/>
    </x:xf>
    <x:xf numFmtId="0" fontId="9" fillId="0" borderId="1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FF0E8"/>
        </x:patternFill>
      </x:fill>
    </x:dxf>
    <x:dxf>
      <x:font>
        <x:b/>
      </x:font>
      <x:fill>
        <x:patternFill patternType="solid">
          <x:bgColor rgb="FFF8DADB"/>
        </x:patternFill>
      </x:fill>
    </x:dxf>
    <x:dxf>
      <x:fill>
        <x:patternFill patternType="solid">
          <x:bgColor rgb="FFDFF0E8"/>
        </x:patternFill>
      </x:fill>
    </x:dxf>
    <x:dxf>
      <x:fill>
        <x:patternFill patternType="solid">
          <x:bgColor rgb="FFFFF0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16375623a4dc9" /><Relationship Type="http://schemas.openxmlformats.org/officeDocument/2006/relationships/theme" Target="/xl/theme/theme1.xml" Id="Ree9f323468e14fb2" /><Relationship Type="http://schemas.openxmlformats.org/officeDocument/2006/relationships/sharedStrings" Target="/xl/sharedStrings.xml" Id="Ra6038ce568c143c0" /><Relationship Type="http://schemas.openxmlformats.org/officeDocument/2006/relationships/worksheet" Target="/xl/worksheets/sheet1.xml" Id="Rad054f4bb4b0467b" /><Relationship Type="http://schemas.openxmlformats.org/officeDocument/2006/relationships/worksheet" Target="/xl/worksheets/sheet2.xml" Id="R93d19477e18b42b1" /><Relationship Type="http://schemas.openxmlformats.org/officeDocument/2006/relationships/worksheet" Target="/xl/worksheets/sheet3.xml" Id="R0dbaa852c7a747ce" /><Relationship Type="http://schemas.openxmlformats.org/officeDocument/2006/relationships/worksheet" Target="/xl/worksheets/sheet4.xml" Id="R4aa8593d069541ca" /><Relationship Type="http://schemas.openxmlformats.org/officeDocument/2006/relationships/worksheet" Target="/xl/worksheets/sheet5.xml" Id="Rc4d2293a885d4781" /></Relationships>
</file>

<file path=xl/tables/table1.xml><?xml version="1.0" encoding="utf-8"?>
<x:table xmlns:x="http://schemas.openxmlformats.org/spreadsheetml/2006/main" id="1" name="MobioTasks04" displayName="MobioTasks04" ref="A6:L101" headerRowCount="1" totalsRowCount="0" totalsRowShown="0">
  <x:tableColumns count="12">
    <x:tableColumn id="1" name="ID"/>
    <x:tableColumn id="2" name="Priority"/>
    <x:tableColumn id="3" name="Area"/>
    <x:tableColumn id="4" name="Original task"/>
    <x:tableColumn id="5" name="Delivery status"/>
    <x:tableColumn id="6" name="New Increment04 evidence"/>
    <x:tableColumn id="7" name="Next acceptance / remaining work"/>
    <x:tableColumn id="8" name="Owner role"/>
    <x:tableColumn id="9" name="Dependencies"/>
    <x:tableColumn id="10" name="Prior delivery evidence"/>
    <x:tableColumn id="11" name="Production acceptance"/>
    <x:tableColumn id="12" name="Original backlog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bioChecks04" displayName="MobioChecks04" ref="A6:E16" headerRowCount="1" totalsRowCount="0" totalsRowShown="0">
  <x:tableColumns count="5">
    <x:tableColumn id="1" name="Lane"/>
    <x:tableColumn id="2" name="Result"/>
    <x:tableColumn id="3" name="Count"/>
    <x:tableColumn id="4" name="Boundary / qualification"/>
    <x:tableColumn id="5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iginalMobioCriteria04" displayName="OriginalMobioCriteria04" ref="A6:M101" headerRowCount="1" totalsRowCount="0" totalsRowShown="0">
  <x:tableColumns count="13">
    <x:tableColumn id="1" name="ID"/>
    <x:tableColumn id="2" name="Priority"/>
    <x:tableColumn id="3" name="Release scope"/>
    <x:tableColumn id="4" name="Area"/>
    <x:tableColumn id="5" name="Task"/>
    <x:tableColumn id="6" name="Original status"/>
    <x:tableColumn id="7" name="Assigned owner"/>
    <x:tableColumn id="8" name="Owner role"/>
    <x:tableColumn id="9" name="Effort"/>
    <x:tableColumn id="10" name="Dependencies"/>
    <x:tableColumn id="11" name="Original acceptance criteria"/>
    <x:tableColumn id="12" name="Why it matters"/>
    <x:tableColumn id="13" name="Original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e6ceddd31045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5756569c4a40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a66d8c973e3449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0" t="str">
        <x:v>MOBIO | Implementation Increment04</x:v>
      </x:c>
      <x:c r="B1" s="10"/>
      <x:c r="C1" s="10"/>
      <x:c r="D1" s="10"/>
      <x:c r="E1" s="10"/>
      <x:c r="F1" s="10"/>
      <x:c r="G1" s="10"/>
      <x:c r="H1" s="10"/>
    </x:row>
    <x:row r="2" ht="24" customHeight="1">
      <x:c r="A2" s="10"/>
      <x:c r="B2" s="10"/>
      <x:c r="C2" s="10"/>
      <x:c r="D2" s="10"/>
      <x:c r="E2" s="10"/>
      <x:c r="F2" s="10"/>
      <x:c r="G2" s="10"/>
      <x:c r="H2" s="10"/>
    </x:row>
    <x:row r="3" ht="20" customHeight="1">
      <x:c r="A3" s="16" t="str">
        <x:v>28 September 2026 • Durable SMS receipt admission and worker • Source delivery with local evidence; not a production release.</x:v>
      </x:c>
      <x:c r="B3" s="16"/>
      <x:c r="C3" s="16"/>
      <x:c r="D3" s="16"/>
      <x:c r="E3" s="16"/>
      <x:c r="F3" s="16"/>
      <x:c r="G3" s="16"/>
      <x:c r="H3" s="16"/>
    </x:row>
    <x:row r="4" ht="20" customHeight="1">
      <x:c r="A4" s="16"/>
      <x:c r="B4" s="16"/>
      <x:c r="C4" s="16"/>
      <x:c r="D4" s="16"/>
      <x:c r="E4" s="16"/>
      <x:c r="F4" s="16"/>
      <x:c r="G4" s="16"/>
      <x:c r="H4" s="16"/>
    </x:row>
    <x:row r="5">
      <x:c r="A5" s="6"/>
      <x:c r="B5" s="6"/>
      <x:c r="C5" s="6"/>
      <x:c r="D5" s="6"/>
      <x:c r="E5" s="6"/>
      <x:c r="F5" s="6"/>
      <x:c r="G5" s="6"/>
      <x:c r="H5" s="6"/>
    </x:row>
    <x:row r="6" ht="35" customHeight="1">
      <x:c r="A6" s="37" t="str">
        <x:v>AUDIT TASKS</x:v>
      </x:c>
      <x:c r="B6" s="37"/>
      <x:c r="C6" s="37" t="str">
        <x:v>ADVANCED NOW</x:v>
      </x:c>
      <x:c r="D6" s="37"/>
      <x:c r="E6" s="37" t="str">
        <x:v>LOCAL CHECKS</x:v>
      </x:c>
      <x:c r="F6" s="37"/>
      <x:c r="G6" s="37" t="str">
        <x:v>PRODUCTION ACCEPTED</x:v>
      </x:c>
      <x:c r="H6" s="37"/>
    </x:row>
    <x:row r="7">
      <x:c r="A7" s="32" t="n">
        <x:f>COUNTA('All 95 tasks'!A7:A101)</x:f>
        <x:v>95</x:v>
      </x:c>
      <x:c r="B7" s="32"/>
      <x:c r="C7" s="32" t="n">
        <x:f>COUNTIF('All 95 tasks'!E7:E101,"Updated in Increment04")</x:f>
        <x:v>8</x:v>
      </x:c>
      <x:c r="D7" s="32"/>
      <x:c r="E7" s="32" t="n">
        <x:f>SUM(Verification!C7:C10)</x:f>
        <x:v>180</x:v>
      </x:c>
      <x:c r="F7" s="32"/>
      <x:c r="G7" s="32" t="n">
        <x:f>COUNTIF('All 95 tasks'!K7:K101,"Accepted")</x:f>
        <x:v>0</x:v>
      </x:c>
      <x:c r="H7" s="32"/>
    </x:row>
    <x:row r="8">
      <x:c r="A8" s="32"/>
      <x:c r="B8" s="32"/>
      <x:c r="C8" s="32"/>
      <x:c r="D8" s="32"/>
      <x:c r="E8" s="32"/>
      <x:c r="F8" s="32"/>
      <x:c r="G8" s="32"/>
      <x:c r="H8" s="32"/>
    </x:row>
    <x:row r="9">
      <x:c r="A9" s="32"/>
      <x:c r="B9" s="32"/>
      <x:c r="C9" s="32"/>
      <x:c r="D9" s="32"/>
      <x:c r="E9" s="32"/>
      <x:c r="F9" s="32"/>
      <x:c r="G9" s="32"/>
      <x:c r="H9" s="32"/>
    </x:row>
    <x:row r="10">
      <x:c r="A10" s="6"/>
      <x:c r="B10" s="6"/>
      <x:c r="C10" s="6"/>
      <x:c r="D10" s="6"/>
      <x:c r="E10" s="6"/>
      <x:c r="F10" s="6"/>
      <x:c r="G10" s="6"/>
      <x:c r="H10" s="6"/>
    </x:row>
    <x:row r="11" ht="29" customHeight="1">
      <x:c r="A11" s="42" t="str">
        <x:v>Release blocker: the source folder still permits anyone with its link to edit. Restrict access and review exposed signing material. No permissions or live credentials were changed.</x:v>
      </x:c>
      <x:c r="B11" s="42"/>
      <x:c r="C11" s="42"/>
      <x:c r="D11" s="42"/>
      <x:c r="E11" s="42"/>
      <x:c r="F11" s="42"/>
      <x:c r="G11" s="42"/>
      <x:c r="H11" s="42"/>
    </x:row>
    <x:row r="12" ht="29" customHeight="1">
      <x:c r="A12" s="42"/>
      <x:c r="B12" s="42"/>
      <x:c r="C12" s="42"/>
      <x:c r="D12" s="42"/>
      <x:c r="E12" s="42"/>
      <x:c r="F12" s="42"/>
      <x:c r="G12" s="42"/>
      <x:c r="H12" s="42"/>
    </x:row>
    <x:row r="13">
      <x:c r="A13" s="6"/>
      <x:c r="B13" s="6"/>
      <x:c r="C13" s="6"/>
      <x:c r="D13" s="6"/>
      <x:c r="E13" s="6"/>
      <x:c r="F13" s="6"/>
      <x:c r="G13" s="6"/>
      <x:c r="H13" s="6"/>
    </x:row>
    <x:row r="14" ht="26" customHeight="1">
      <x:c r="A14" s="21" t="str">
        <x:v>DELIVERY STATUS — NOT A COMPLETION PERCENTAGE</x:v>
      </x:c>
      <x:c r="B14" s="21"/>
      <x:c r="C14" s="21"/>
      <x:c r="D14" s="21"/>
      <x:c r="E14" s="21"/>
      <x:c r="F14" s="21"/>
      <x:c r="G14" s="21"/>
      <x:c r="H14" s="21"/>
    </x:row>
    <x:row r="15" ht="25" customHeight="1">
      <x:c r="A15" s="46" t="str">
        <x:v>Updated in Increment04</x:v>
      </x:c>
      <x:c r="B15" s="46"/>
      <x:c r="C15" s="46"/>
      <x:c r="D15" s="46"/>
      <x:c r="E15" s="46"/>
      <x:c r="F15" s="46"/>
      <x:c r="G15" s="46" t="n">
        <x:f>COUNTIF('All 95 tasks'!E7:E101,A15)</x:f>
        <x:v>8</x:v>
      </x:c>
      <x:c r="H15" s="46"/>
    </x:row>
    <x:row r="16" ht="25" customHeight="1">
      <x:c r="A16" s="46" t="str">
        <x:v>Earlier source work; acceptance open</x:v>
      </x:c>
      <x:c r="B16" s="46"/>
      <x:c r="C16" s="46"/>
      <x:c r="D16" s="46"/>
      <x:c r="E16" s="46"/>
      <x:c r="F16" s="46"/>
      <x:c r="G16" s="46" t="n">
        <x:f>COUNTIF('All 95 tasks'!E7:E101,A16)</x:f>
        <x:v>29</x:v>
      </x:c>
      <x:c r="H16" s="46"/>
    </x:row>
    <x:row r="17" ht="25" customHeight="1">
      <x:c r="A17" s="46" t="str">
        <x:v>Open; no completion evidence</x:v>
      </x:c>
      <x:c r="B17" s="46"/>
      <x:c r="C17" s="46"/>
      <x:c r="D17" s="46"/>
      <x:c r="E17" s="46"/>
      <x:c r="F17" s="46"/>
      <x:c r="G17" s="46" t="n">
        <x:f>COUNTIF('All 95 tasks'!E7:E101,A17)</x:f>
        <x:v>58</x:v>
      </x:c>
      <x:c r="H17" s="46"/>
    </x:row>
    <x:row r="18">
      <x:c r="A18" s="6"/>
      <x:c r="B18" s="6"/>
      <x:c r="C18" s="6"/>
      <x:c r="D18" s="6"/>
      <x:c r="E18" s="6"/>
      <x:c r="F18" s="6"/>
      <x:c r="G18" s="6"/>
      <x:c r="H18" s="6"/>
    </x:row>
    <x:row r="19" ht="24" customHeight="1">
      <x:c r="A19" s="49" t="str">
        <x:v>Implemented: atomic receipt admission, separate authorized worker, duplicate protection, claim fencing, bounded retries and budgets, health visibility, operational trigger, CI fixtures and a guarded source applier. PostgreSQL transactional behaviour is not yet verified.</x:v>
      </x:c>
      <x:c r="B19" s="49"/>
      <x:c r="C19" s="49"/>
      <x:c r="D19" s="49"/>
      <x:c r="E19" s="49"/>
      <x:c r="F19" s="49"/>
      <x:c r="G19" s="49"/>
      <x:c r="H19" s="49"/>
    </x:row>
    <x:row r="20" ht="24" customHeight="1">
      <x:c r="A20" s="49"/>
      <x:c r="B20" s="49"/>
      <x:c r="C20" s="49"/>
      <x:c r="D20" s="49"/>
      <x:c r="E20" s="49"/>
      <x:c r="F20" s="49"/>
      <x:c r="G20" s="49"/>
      <x:c r="H20" s="49"/>
    </x:row>
    <x:row r="21" ht="24" customHeight="1">
      <x:c r="A21" s="49"/>
      <x:c r="B21" s="49"/>
      <x:c r="C21" s="49"/>
      <x:c r="D21" s="49"/>
      <x:c r="E21" s="49"/>
      <x:c r="F21" s="49"/>
      <x:c r="G21" s="49"/>
      <x:c r="H21" s="49"/>
    </x:row>
    <x:row r="22">
      <x:c r="A22" s="6"/>
      <x:c r="B22" s="6"/>
      <x:c r="C22" s="6"/>
      <x:c r="D22" s="6"/>
      <x:c r="E22" s="6"/>
      <x:c r="F22" s="6"/>
      <x:c r="G22" s="6"/>
      <x:c r="H22" s="6"/>
    </x:row>
    <x:row r="23" ht="24" customHeight="1">
      <x:c r="A23" s="52" t="str">
        <x:v>Next gates: real PostgreSQL 17/full-schema and Auth tests; actual operator receipt validation; approved review/replay and retention; staging end-to-end; signed Android/iOS/device acceptance; hosted required CI and controlled rollout. Allocation defaults remain OFF.</x:v>
      </x:c>
      <x:c r="B23" s="52"/>
      <x:c r="C23" s="52"/>
      <x:c r="D23" s="52"/>
      <x:c r="E23" s="52"/>
      <x:c r="F23" s="52"/>
      <x:c r="G23" s="52"/>
      <x:c r="H23" s="52"/>
    </x:row>
    <x:row r="24" ht="24" customHeight="1">
      <x:c r="A24" s="52"/>
      <x:c r="B24" s="52"/>
      <x:c r="C24" s="52"/>
      <x:c r="D24" s="52"/>
      <x:c r="E24" s="52"/>
      <x:c r="F24" s="52"/>
      <x:c r="G24" s="52"/>
      <x:c r="H24" s="52"/>
    </x:row>
    <x:row r="25" ht="24" customHeight="1">
      <x:c r="A25" s="52"/>
      <x:c r="B25" s="52"/>
      <x:c r="C25" s="52"/>
      <x:c r="D25" s="52"/>
      <x:c r="E25" s="52"/>
      <x:c r="F25" s="52"/>
      <x:c r="G25" s="52"/>
      <x:c r="H25" s="52"/>
    </x:row>
    <x:row r="26">
      <x:c r="A26" s="6"/>
      <x:c r="B26" s="6"/>
      <x:c r="C26" s="6"/>
      <x:c r="D26" s="6"/>
      <x:c r="E26" s="6"/>
      <x:c r="F26" s="6"/>
      <x:c r="G26" s="6"/>
      <x:c r="H26" s="6"/>
    </x:row>
    <x:row r="27" ht="22" customHeight="1">
      <x:c r="A27" s="55" t="str">
        <x:v>Read the Verification tab before interpreting test counts. No production acceptance is evidenced by these delivery packages; this does not assert that external organizational approvals do not exist.</x:v>
      </x:c>
      <x:c r="B27" s="55"/>
      <x:c r="C27" s="55"/>
      <x:c r="D27" s="55"/>
      <x:c r="E27" s="55"/>
      <x:c r="F27" s="55"/>
      <x:c r="G27" s="55"/>
      <x:c r="H27" s="55"/>
    </x:row>
    <x:row r="28" ht="22" customHeight="1">
      <x:c r="A28" s="55"/>
      <x:c r="B28" s="55"/>
      <x:c r="C28" s="55"/>
      <x:c r="D28" s="55"/>
      <x:c r="E28" s="55"/>
      <x:c r="F28" s="55"/>
      <x:c r="G28" s="55"/>
      <x:c r="H28" s="55"/>
    </x:row>
  </x:sheetData>
  <x:mergeCells>
    <x:mergeCell ref="A1:H2"/>
    <x:mergeCell ref="A3:H4"/>
    <x:mergeCell ref="A6:B6"/>
    <x:mergeCell ref="C6:D6"/>
    <x:mergeCell ref="E6:F6"/>
    <x:mergeCell ref="G6:H6"/>
    <x:mergeCell ref="A7:B9"/>
    <x:mergeCell ref="C7:D9"/>
    <x:mergeCell ref="E7:F9"/>
    <x:mergeCell ref="G7:H9"/>
    <x:mergeCell ref="A11:H12"/>
    <x:mergeCell ref="A14:H14"/>
    <x:mergeCell ref="A15:F15"/>
    <x:mergeCell ref="A16:F16"/>
    <x:mergeCell ref="A17:F17"/>
    <x:mergeCell ref="A19:H21"/>
    <x:mergeCell ref="A23:H25"/>
    <x:mergeCell ref="A27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22" hidden="0" customWidth="1"/>
    <x:col min="4" max="4" width="40" hidden="0" customWidth="1"/>
    <x:col min="5" max="5" width="25" hidden="0" customWidth="1"/>
    <x:col min="6" max="6" width="40" hidden="0" customWidth="1"/>
    <x:col min="7" max="7" width="40" hidden="0" customWidth="1"/>
    <x:col min="8" max="8" width="23" hidden="0" customWidth="1"/>
    <x:col min="9" max="9" width="20" hidden="0" customWidth="1"/>
    <x:col min="10" max="10" width="40" hidden="0" customWidth="1"/>
    <x:col min="11" max="11" width="25" hidden="0" customWidth="1"/>
    <x:col min="12" max="12" width="35" hidden="0" customWidth="1"/>
  </x:cols>
  <x:sheetData>
    <x:row r="1" ht="24" customHeight="1">
      <x:c r="A1" s="10" t="str">
        <x:v>Mobio | Full task register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24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0" customHeight="1">
      <x:c r="A3" s="16" t="str">
        <x:v>28 September 2026 • Eight tasks advanced by Increment04. Earlier source work and new local tests are not production acceptance.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20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32" customHeight="1">
      <x:c r="A6" s="23" t="str">
        <x:v>ID</x:v>
      </x:c>
      <x:c r="B6" s="23" t="str">
        <x:v>Priority</x:v>
      </x:c>
      <x:c r="C6" s="23" t="str">
        <x:v>Area</x:v>
      </x:c>
      <x:c r="D6" s="23" t="str">
        <x:v>Original task</x:v>
      </x:c>
      <x:c r="E6" s="23" t="str">
        <x:v>Delivery status</x:v>
      </x:c>
      <x:c r="F6" s="23" t="str">
        <x:v>New Increment04 evidence</x:v>
      </x:c>
      <x:c r="G6" s="23" t="str">
        <x:v>Next acceptance / remaining work</x:v>
      </x:c>
      <x:c r="H6" s="23" t="str">
        <x:v>Owner role</x:v>
      </x:c>
      <x:c r="I6" s="23" t="str">
        <x:v>Dependencies</x:v>
      </x:c>
      <x:c r="J6" s="23" t="str">
        <x:v>Prior delivery evidence</x:v>
      </x:c>
      <x:c r="K6" s="23" t="str">
        <x:v>Production acceptance</x:v>
      </x:c>
      <x:c r="L6" s="23" t="str">
        <x:v>Original backlog source</x:v>
      </x:c>
    </x:row>
    <x:row r="7" ht="116" customHeight="1">
      <x:c r="A7" s="28" t="str">
        <x:v>M001</x:v>
      </x:c>
      <x:c r="B7" s="28" t="str">
        <x:v>P0</x:v>
      </x:c>
      <x:c r="C7" s="28" t="str">
        <x:v>Source access</x:v>
      </x:c>
      <x:c r="D7" s="28" t="str">
        <x:v>Restrict the public Drive working-copy folder and preserve an access-review record</x:v>
      </x:c>
      <x:c r="E7" s="28" t="str">
        <x:v>Open; no completion evidence</x:v>
      </x:c>
      <x:c r="F7" s="28" t="str">
        <x:v>No new completion claim in this increment.</x:v>
      </x:c>
      <x:c r="G7" s="28" t="str">
        <x:v>Named access replaces anyone-writer; inherited/child permissions and link access are verified; preserve activity evidence and an incident decision without asserting outsider use.</x:v>
      </x:c>
      <x:c r="H7" s="28" t="str">
        <x:v>Security lead + folder owner</x:v>
      </x:c>
      <x:c r="I7" s="28" t="str">
        <x:v>None</x:v>
      </x:c>
      <x:c r="J7" s="28" t="str">
        <x:v>No completion claimed by these increments. Original audit acceptance criteria remain applicable.</x:v>
      </x:c>
      <x:c r="K7" s="28" t="str">
        <x:v>Not evidenced by these deliveries</x:v>
      </x:c>
      <x:c r="L7" s="28" t="str">
        <x:v>https://drive.google.com/file/d/15X3_uSbHztLL57IL_d3Xo9hc9zInJuyN/view</x:v>
      </x:c>
    </x:row>
    <x:row r="8" ht="116" customHeight="1">
      <x:c r="A8" s="28" t="str">
        <x:v>M002</x:v>
      </x:c>
      <x:c r="B8" s="28" t="str">
        <x:v>P0</x:v>
      </x:c>
      <x:c r="C8" s="28" t="str">
        <x:v>Signing and secrets</x:v>
      </x:c>
      <x:c r="D8" s="28" t="str">
        <x:v>Inventory exposed credentials and replace or revoke affected secrets using their actual provenance</x:v>
      </x:c>
      <x:c r="E8" s="28" t="str">
        <x:v>Open; no completion evidence</x:v>
      </x:c>
      <x:c r="F8" s="28" t="str">
        <x:v>No new completion claim in this increment.</x:v>
      </x:c>
      <x:c r="G8" s="28" t="str">
        <x:v>Identify owner, purpose, exposure window and actual upload/app-signing role; reset upload keys or revoke credentials as warranted; prove a trusted signed update path and remove exposed copies under retention policy.</x:v>
      </x:c>
      <x:c r="H8" s="28" t="str">
        <x:v>Security + Android release owner</x:v>
      </x:c>
      <x:c r="I8" s="28" t="str">
        <x:v>M001</x:v>
      </x:c>
      <x:c r="J8" s="28" t="str">
        <x:v>No completion claimed by these increments. Original audit acceptance criteria remain applicable.</x:v>
      </x:c>
      <x:c r="K8" s="28" t="str">
        <x:v>Not evidenced by these deliveries</x:v>
      </x:c>
      <x:c r="L8" s="28" t="str">
        <x:v>https://drive.google.com/file/d/15X3_uSbHztLL57IL_d3Xo9hc9zInJuyN/view</x:v>
      </x:c>
    </x:row>
    <x:row r="9" ht="116" customHeight="1">
      <x:c r="A9" s="28" t="str">
        <x:v>M003</x:v>
      </x:c>
      <x:c r="B9" s="28" t="str">
        <x:v>P0</x:v>
      </x:c>
      <x:c r="C9" s="28" t="str">
        <x:v>Identity authority</x:v>
      </x:c>
      <x:c r="D9" s="28" t="str">
        <x:v>Bind verified WhatsApp/phone identity to an immutable, unique Auth identity</x:v>
      </x:c>
      <x:c r="E9" s="28" t="str">
        <x:v>Earlier source work; acceptance open</x:v>
      </x:c>
      <x:c r="F9" s="28" t="str">
        <x:v>No new completion claim in this increment.</x:v>
      </x:c>
      <x:c r="G9" s="28" t="str">
        <x:v>Separate editable contact data from verified login authority; migrate duplicate aliases; verification cannot select or reassign another account; negative fixtures plus real Auth collision behavior pass. Phone-based BioPay discovery also resolves only the canonical verified recipient authority, never an editable contact alias.</x:v>
      </x:c>
      <x:c r="H9" s="28" t="str">
        <x:v>Backend + security</x:v>
      </x:c>
      <x:c r="I9" s="28" t="str">
        <x:v>M001</x:v>
      </x:c>
      <x:c r="J9" s="28" t="str">
        <x:v>Auth-owned verified phone identity implemented locally; handler fixtures pass; live Auth collision/race and deployed RPC not tested.</x:v>
      </x:c>
      <x:c r="K9" s="28" t="str">
        <x:v>Not evidenced by these deliveries</x:v>
      </x:c>
      <x:c r="L9" s="28" t="str">
        <x:v>https://drive.google.com/file/d/15X3_uSbHztLL57IL_d3Xo9hc9zInJuyN/view</x:v>
      </x:c>
    </x:row>
    <x:row r="10" ht="116" customHeight="1">
      <x:c r="A10" s="28" t="str">
        <x:v>M004</x:v>
      </x:c>
      <x:c r="B10" s="28" t="str">
        <x:v>P1</x:v>
      </x:c>
      <x:c r="C10" s="28" t="str">
        <x:v>Authorization</x:v>
      </x:c>
      <x:c r="D10" s="28" t="str">
        <x:v>Protect identity and privilege columns and audit effective table/RPC grants</x:v>
      </x:c>
      <x:c r="E10" s="28" t="str">
        <x:v>Earlier source work; acceptance open</x:v>
      </x:c>
      <x:c r="F10" s="28" t="str">
        <x:v>No new completion claim in this increment.</x:v>
      </x:c>
      <x:c r="G10" s="28" t="str">
        <x:v>Publish effective role/table/column/function matrix; default-deny sensitive updates and security-definer execution; ordinary sessions cannot mutate verified aliases, creation order, member ID or admin authority. Test fn_biopay_discover against attempted editable-phone impersonation.</x:v>
      </x:c>
      <x:c r="H10" s="28" t="str">
        <x:v>Backend + security</x:v>
      </x:c>
      <x:c r="I10" s="28" t="str">
        <x:v>M003</x:v>
      </x:c>
      <x:c r="J10" s="28" t="str">
        <x:v>Identity/member-id authority guard candidate prepared; database grants/RLS effective state not executed.</x:v>
      </x:c>
      <x:c r="K10" s="28" t="str">
        <x:v>Not evidenced by these deliveries</x:v>
      </x:c>
      <x:c r="L10" s="28" t="str">
        <x:v>https://drive.google.com/file/d/15X3_uSbHztLL57IL_d3Xo9hc9zInJuyN/view</x:v>
      </x:c>
    </x:row>
    <x:row r="11" ht="116" customHeight="1">
      <x:c r="A11" s="28" t="str">
        <x:v>M005</x:v>
      </x:c>
      <x:c r="B11" s="28" t="str">
        <x:v>P1</x:v>
      </x:c>
      <x:c r="C11" s="28" t="str">
        <x:v>Member identity</x:v>
      </x:c>
      <x:c r="D11" s="28" t="str">
        <x:v>Reconcile duplicate member IDs and enforce atomic unique six-digit allocation</x:v>
      </x:c>
      <x:c r="E11" s="28" t="str">
        <x:v>Earlier source work; acceptance open</x:v>
      </x:c>
      <x:c r="F11" s="28" t="str">
        <x:v>No new completion claim in this increment.</x:v>
      </x:c>
      <x:c r="G11" s="28" t="str">
        <x:v>Duplicate inventory reviewed; controlled remediation preserves account UUIDs and references; unique constraint plus concurrent allocation tests pass; ambiguous recipient lookup fails safely.</x:v>
      </x:c>
      <x:c r="H11" s="28" t="str">
        <x:v>Backend + data migration owner</x:v>
      </x:c>
      <x:c r="I11" s="28" t="str">
        <x:v>M003; M004</x:v>
      </x:c>
      <x:c r="J11" s="28" t="str">
        <x:v>Canonical unique six-digit member-ID forward body + assertions implemented; database reconciliation not executed.</x:v>
      </x:c>
      <x:c r="K11" s="28" t="str">
        <x:v>Not evidenced by these deliveries</x:v>
      </x:c>
      <x:c r="L11" s="28" t="str">
        <x:v>https://drive.google.com/file/d/15X3_uSbHztLL57IL_d3Xo9hc9zInJuyN/view</x:v>
      </x:c>
    </x:row>
    <x:row r="12" ht="116" customHeight="1">
      <x:c r="A12" s="28" t="str">
        <x:v>M006</x:v>
      </x:c>
      <x:c r="B12" s="28" t="str">
        <x:v>P1</x:v>
      </x:c>
      <x:c r="C12" s="28" t="str">
        <x:v>Member identity</x:v>
      </x:c>
      <x:c r="D12" s="28" t="str">
        <x:v>Display the authoritative member ID consistently across all client surfaces</x:v>
      </x:c>
      <x:c r="E12" s="28" t="str">
        <x:v>Earlier source work; acceptance open</x:v>
      </x:c>
      <x:c r="F12" s="28" t="str">
        <x:v>No new completion claim in this increment.</x:v>
      </x:c>
      <x:c r="G12" s="28" t="str">
        <x:v>One fixture displays one server-issued six-digit ID in profile, nearby, trip, chat and wallet; no fabricated fallback; wrong/missing/ambiguous recipient regression cases pass.</x:v>
      </x:c>
      <x:c r="H12" s="28" t="str">
        <x:v>Flutter + QA</x:v>
      </x:c>
      <x:c r="I12" s="28" t="str">
        <x:v>M005</x:v>
      </x:c>
      <x:c r="J12" s="28" t="str">
        <x:v>Production UUID/hash member-ID fallbacks removed; source-contract tests pass; Flutter runtime/goldens not run.</x:v>
      </x:c>
      <x:c r="K12" s="28" t="str">
        <x:v>Not evidenced by these deliveries</x:v>
      </x:c>
      <x:c r="L12" s="28" t="str">
        <x:v>https://drive.google.com/file/d/15X3_uSbHztLL57IL_d3Xo9hc9zInJuyN/view</x:v>
      </x:c>
    </x:row>
    <x:row r="13" ht="116" customHeight="1">
      <x:c r="A13" s="28" t="str">
        <x:v>M007</x:v>
      </x:c>
      <x:c r="B13" s="28" t="str">
        <x:v>P1</x:v>
      </x:c>
      <x:c r="C13" s="28" t="str">
        <x:v>Account lifecycle</x:v>
      </x:c>
      <x:c r="D13" s="28" t="str">
        <x:v>Implement ordinary sign-out with finally-safe local and native cleanup</x:v>
      </x:c>
      <x:c r="E13" s="28" t="str">
        <x:v>Earlier source work; acceptance open</x:v>
      </x:c>
      <x:c r="F13" s="28" t="str">
        <x:v>No new completion claim in this increment.</x:v>
      </x:c>
      <x:c r="G13" s="28" t="str">
        <x:v>Offline exit clears local credentials, account state, drafts/listeners and camera/NFC/location activity; cleanup failures cannot restore access; account A data never appears after B signs in.</x:v>
      </x:c>
      <x:c r="H13" s="28" t="str">
        <x:v>Flutter + native platform owners</x:v>
      </x:c>
      <x:c r="I13" s="28" t="str">
        <x:v>M003</x:v>
      </x:c>
      <x:c r="J13" s="28" t="str">
        <x:v>Ordinary sign-out and finally-safe cleanup implemented; account-switch/device tests not run.</x:v>
      </x:c>
      <x:c r="K13" s="28" t="str">
        <x:v>Not evidenced by these deliveries</x:v>
      </x:c>
      <x:c r="L13" s="28" t="str">
        <x:v>https://drive.google.com/file/d/15X3_uSbHztLL57IL_d3Xo9hc9zInJuyN/view</x:v>
      </x:c>
    </x:row>
    <x:row r="14" ht="116" customHeight="1">
      <x:c r="A14" s="28" t="str">
        <x:v>M008</x:v>
      </x:c>
      <x:c r="B14" s="28" t="str">
        <x:v>P1</x:v>
      </x:c>
      <x:c r="C14" s="28" t="str">
        <x:v>Push identity</x:v>
      </x:c>
      <x:c r="D14" s="28" t="str">
        <x:v>Revoke FCM association before losing its owning session and atomically bind device ownership</x:v>
      </x:c>
      <x:c r="E14" s="28" t="str">
        <x:v>Earlier source work; acceptance open</x:v>
      </x:c>
      <x:c r="F14" s="28" t="str">
        <x:v>No new completion claim in this increment.</x:v>
      </x:c>
      <x:c r="G14" s="28" t="str">
        <x:v>Two-account device test receives only current-owner messages; captured identity is rechecked around token retrieval/upsert; anonymous registration rejected; stale-token expiry and revocation verified.</x:v>
      </x:c>
      <x:c r="H14" s="28" t="str">
        <x:v>Flutter + backend</x:v>
      </x:c>
      <x:c r="I14" s="28" t="str">
        <x:v>M007</x:v>
      </x:c>
      <x:c r="J14" s="28" t="str">
        <x:v>FCM registration/unregister now owner-bound; real two-account push test not run.</x:v>
      </x:c>
      <x:c r="K14" s="28" t="str">
        <x:v>Not evidenced by these deliveries</x:v>
      </x:c>
      <x:c r="L14" s="28" t="str">
        <x:v>https://drive.google.com/file/d/15X3_uSbHztLL57IL_d3Xo9hc9zInJuyN/view</x:v>
      </x:c>
    </x:row>
    <x:row r="15" ht="116" customHeight="1">
      <x:c r="A15" s="28" t="str">
        <x:v>M009</x:v>
      </x:c>
      <x:c r="B15" s="28" t="str">
        <x:v>P1</x:v>
      </x:c>
      <x:c r="C15" s="28" t="str">
        <x:v>Admin security</x:v>
      </x:c>
      <x:c r="D15" s="28" t="str">
        <x:v>Define and enforce admin idle, absolute lifetime and sensitive-action authentication</x:v>
      </x:c>
      <x:c r="E15" s="28" t="str">
        <x:v>Open; no completion evidence</x:v>
      </x:c>
      <x:c r="F15" s="28" t="str">
        <x:v>No new completion claim in this increment.</x:v>
      </x:c>
      <x:c r="G15" s="28" t="str">
        <x:v>Retained timeout requirements are enforced server-side and reflected in UI; idle/background/resume/refresh/role-revocation tests pass; high-impact operations require the agreed admin purpose.</x:v>
      </x:c>
      <x:c r="H15" s="28" t="str">
        <x:v>Security + backend + Flutter</x:v>
      </x:c>
      <x:c r="I15" s="28" t="str">
        <x:v>M003; M007</x:v>
      </x:c>
      <x:c r="J15" s="28" t="str">
        <x:v>No completion claimed by these increments. Original audit acceptance criteria remain applicable.</x:v>
      </x:c>
      <x:c r="K15" s="28" t="str">
        <x:v>Not evidenced by these deliveries</x:v>
      </x:c>
      <x:c r="L15" s="28" t="str">
        <x:v>https://drive.google.com/file/d/15X3_uSbHztLL57IL_d3Xo9hc9zInJuyN/view</x:v>
      </x:c>
    </x:row>
    <x:row r="16" ht="116" customHeight="1">
      <x:c r="A16" s="28" t="str">
        <x:v>M010</x:v>
      </x:c>
      <x:c r="B16" s="28" t="str">
        <x:v>P1</x:v>
      </x:c>
      <x:c r="C16" s="28" t="str">
        <x:v>Credential storage</x:v>
      </x:c>
      <x:c r="D16" s="28" t="str">
        <x:v>Migrate native refresh-session persistence to supported OS-protected storage</x:v>
      </x:c>
      <x:c r="E16" s="28" t="str">
        <x:v>Open; no completion evidence</x:v>
      </x:c>
      <x:c r="F16" s="28" t="str">
        <x:v>No new completion claim in this increment.</x:v>
      </x:c>
      <x:c r="G16" s="28" t="str">
        <x:v>At-rest/backup inspection and migration, restart, sign-out, reinstall and revocation tests pass on Android/iOS; recovery behavior is documented; browser storage is addressed separately.</x:v>
      </x:c>
      <x:c r="H16" s="28" t="str">
        <x:v>Flutter + security</x:v>
      </x:c>
      <x:c r="I16" s="28" t="str">
        <x:v>M007</x:v>
      </x:c>
      <x:c r="J16" s="28" t="str">
        <x:v>No completion claimed by these increments. Original audit acceptance criteria remain applicable.</x:v>
      </x:c>
      <x:c r="K16" s="28" t="str">
        <x:v>Not evidenced by these deliveries</x:v>
      </x:c>
      <x:c r="L16" s="28" t="str">
        <x:v>https://drive.google.com/file/d/15X3_uSbHztLL57IL_d3Xo9hc9zInJuyN/view</x:v>
      </x:c>
    </x:row>
    <x:row r="17" ht="116" customHeight="1">
      <x:c r="A17" s="28" t="str">
        <x:v>M011</x:v>
      </x:c>
      <x:c r="B17" s="28" t="str">
        <x:v>P1</x:v>
      </x:c>
      <x:c r="C17" s="28" t="str">
        <x:v>Review access</x:v>
      </x:c>
      <x:c r="D17" s="28" t="str">
        <x:v>Constrain the store-review identity to monitored synthetic data and rotate its access</x:v>
      </x:c>
      <x:c r="E17" s="28" t="str">
        <x:v>Open; no completion evidence</x:v>
      </x:c>
      <x:c r="F17" s="28" t="str">
        <x:v>No new completion claim in this increment.</x:v>
      </x:c>
      <x:c r="G17" s="28" t="str">
        <x:v>Review account has approved minimal access and no real-user financial/biometric records; rate cap, audit monitoring and rotation procedure work; live OTP-claim semantics remain enforced.</x:v>
      </x:c>
      <x:c r="H17" s="28" t="str">
        <x:v>Security + release + backend</x:v>
      </x:c>
      <x:c r="I17" s="28" t="str">
        <x:v>M003; M009</x:v>
      </x:c>
      <x:c r="J17" s="28" t="str">
        <x:v>No completion claimed by these increments. Original audit acceptance criteria remain applicable.</x:v>
      </x:c>
      <x:c r="K17" s="28" t="str">
        <x:v>Not evidenced by these deliveries</x:v>
      </x:c>
      <x:c r="L17" s="28" t="str">
        <x:v>https://drive.google.com/file/d/15X3_uSbHztLL57IL_d3Xo9hc9zInJuyN/view</x:v>
      </x:c>
    </x:row>
    <x:row r="18" ht="116" customHeight="1">
      <x:c r="A18" s="28" t="str">
        <x:v>M012</x:v>
      </x:c>
      <x:c r="B18" s="28" t="str">
        <x:v>P1</x:v>
      </x:c>
      <x:c r="C18" s="28" t="str">
        <x:v>OTP production config</x:v>
      </x:c>
      <x:c r="D18" s="28" t="str">
        <x:v>Reject OTP dry-run in production and redact all authentication secrets</x:v>
      </x:c>
      <x:c r="E18" s="28" t="str">
        <x:v>Earlier source work; acceptance open</x:v>
      </x:c>
      <x:c r="F18" s="28" t="str">
        <x:v>No new completion claim in this increment.</x:v>
      </x:c>
      <x:c r="G18" s="28" t="str">
        <x:v>Deployment gate rejects WHATSAPP_CLOUD_DRY_RUN in production; sanitized config readback and log fixtures show no OTP/full phone; testing still uses explicitly isolated fixtures.</x:v>
      </x:c>
      <x:c r="H18" s="28" t="str">
        <x:v>Backend + DevOps</x:v>
      </x:c>
      <x:c r="I18" s="28" t="str">
        <x:v>M002</x:v>
      </x:c>
      <x:c r="J18" s="28" t="str">
        <x:v>Production OTP dry-run guard/redaction implementation locally tested; deployment pending.</x:v>
      </x:c>
      <x:c r="K18" s="28" t="str">
        <x:v>Not evidenced by these deliveries</x:v>
      </x:c>
      <x:c r="L18" s="28" t="str">
        <x:v>https://drive.google.com/file/d/15X3_uSbHztLL57IL_d3Xo9hc9zInJuyN/view</x:v>
      </x:c>
    </x:row>
    <x:row r="19" ht="116" customHeight="1">
      <x:c r="A19" s="28" t="str">
        <x:v>M013</x:v>
      </x:c>
      <x:c r="B19" s="28" t="str">
        <x:v>P2</x:v>
      </x:c>
      <x:c r="C19" s="28" t="str">
        <x:v>Abuse prevention</x:v>
      </x:c>
      <x:c r="D19" s="28" t="str">
        <x:v>Choose an explicit Play Integrity policy and bind/consume protected requests</x:v>
      </x:c>
      <x:c r="E19" s="28" t="str">
        <x:v>Open; no completion evidence</x:v>
      </x:c>
      <x:c r="F19" s="28" t="str">
        <x:v>No new completion claim in this increment.</x:v>
      </x:c>
      <x:c r="G19" s="28" t="str">
        <x:v>Document acceptable device/app verdicts and exceptions; replay/content-substitution fixtures fail where required; monitor-to-enforce decision uses measured false rejects and does not indiscriminately block users.</x:v>
      </x:c>
      <x:c r="H19" s="28" t="str">
        <x:v>Android + backend + security</x:v>
      </x:c>
      <x:c r="I19" s="28" t="str">
        <x:v>M003; M091</x:v>
      </x:c>
      <x:c r="J19" s="28" t="str">
        <x:v>No completion claimed by these increments. Original audit acceptance criteria remain applicable.</x:v>
      </x:c>
      <x:c r="K19" s="28" t="str">
        <x:v>Not evidenced by these deliveries</x:v>
      </x:c>
      <x:c r="L19" s="28" t="str">
        <x:v>https://drive.google.com/file/d/15X3_uSbHztLL57IL_d3Xo9hc9zInJuyN/view</x:v>
      </x:c>
    </x:row>
    <x:row r="20" ht="116" customHeight="1">
      <x:c r="A20" s="28" t="str">
        <x:v>M014</x:v>
      </x:c>
      <x:c r="B20" s="28" t="str">
        <x:v>P2</x:v>
      </x:c>
      <x:c r="C20" s="28" t="str">
        <x:v>Web session security</x:v>
      </x:c>
      <x:c r="D20" s="28" t="str">
        <x:v>Verify admin browser persistence, CSP and session revocation against an explicit threat model</x:v>
      </x:c>
      <x:c r="E20" s="28" t="str">
        <x:v>Open; no completion evidence</x:v>
      </x:c>
      <x:c r="F20" s="28" t="str">
        <x:v>No new completion claim in this increment.</x:v>
      </x:c>
      <x:c r="G20" s="28" t="str">
        <x:v>Approved persistence policy, effective headers and browser expiry/revoke/role-change tests recorded; cached pages and service workers expose no prior-account sensitive data.</x:v>
      </x:c>
      <x:c r="H20" s="28" t="str">
        <x:v>Web + security</x:v>
      </x:c>
      <x:c r="I20" s="28" t="str">
        <x:v>M009</x:v>
      </x:c>
      <x:c r="J20" s="28" t="str">
        <x:v>No completion claimed by these increments. Original audit acceptance criteria remain applicable.</x:v>
      </x:c>
      <x:c r="K20" s="28" t="str">
        <x:v>Not evidenced by these deliveries</x:v>
      </x:c>
      <x:c r="L20" s="28" t="str">
        <x:v>https://drive.google.com/file/d/15X3_uSbHztLL57IL_d3Xo9hc9zInJuyN/view</x:v>
      </x:c>
    </x:row>
    <x:row r="21" ht="116" customHeight="1">
      <x:c r="A21" s="28" t="str">
        <x:v>M015</x:v>
      </x:c>
      <x:c r="B21" s="28" t="str">
        <x:v>P0</x:v>
      </x:c>
      <x:c r="C21" s="28" t="str">
        <x:v>Booking authorization</x:v>
      </x:c>
      <x:c r="D21" s="28" t="str">
        <x:v>Remove passenger authority to self-confirm or mark a booking paid</x:v>
      </x:c>
      <x:c r="E21" s="28" t="str">
        <x:v>Earlier source work; acceptance open</x:v>
      </x:c>
      <x:c r="F21" s="28" t="str">
        <x:v>No new completion claim in this increment.</x:v>
      </x:c>
      <x:c r="G21" s="28" t="str">
        <x:v>Direct PostgREST attempts to set confirmed/paid, paid_at, receipt, price, route or seat authority fail for passengers; only trusted transactional RPCs can make valid transitions.</x:v>
      </x:c>
      <x:c r="H21" s="28" t="str">
        <x:v>Backend + security</x:v>
      </x:c>
      <x:c r="I21" s="28" t="str">
        <x:v>M004</x:v>
      </x:c>
      <x:c r="J21" s="28" t="str">
        <x:v>Direct booking-write containment body prepared; database/PostgREST authorization matrix not run.</x:v>
      </x:c>
      <x:c r="K21" s="28" t="str">
        <x:v>Not evidenced by these deliveries</x:v>
      </x:c>
      <x:c r="L21" s="28" t="str">
        <x:v>https://drive.google.com/file/d/15X3_uSbHztLL57IL_d3Xo9hc9zInJuyN/view</x:v>
      </x:c>
    </x:row>
    <x:row r="22" ht="116" customHeight="1">
      <x:c r="A22" s="28" t="str">
        <x:v>M016</x:v>
      </x:c>
      <x:c r="B22" s="28" t="str">
        <x:v>P0</x:v>
      </x:c>
      <x:c r="C22" s="28" t="str">
        <x:v>Receipt integrity</x:v>
      </x:c>
      <x:c r="D22" s="28" t="str">
        <x:v>Require strong payment evidence before automatic subscription activation</x:v>
      </x:c>
      <x:c r="E22" s="28" t="str">
        <x:v>Earlier source work; acceptance open</x:v>
      </x:c>
      <x:c r="F22" s="28" t="str">
        <x:v>No new completion claim in this increment.</x:v>
      </x:c>
      <x:c r="G22" s="28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H22" s="28" t="str">
        <x:v>Backend + payments owner</x:v>
      </x:c>
      <x:c r="I22" s="28" t="str">
        <x:v>M020; M026</x:v>
      </x:c>
      <x:c r="J22" s="28" t="str">
        <x:v>Strong SMS receipt eligibility implemented in Edge/SQL candidate; operator evidence and DB activation tests pending.</x:v>
      </x:c>
      <x:c r="K22" s="28" t="str">
        <x:v>Not evidenced by these deliveries</x:v>
      </x:c>
      <x:c r="L22" s="28" t="str">
        <x:v>https://drive.google.com/file/d/15X3_uSbHztLL57IL_d3Xo9hc9zInJuyN/view</x:v>
      </x:c>
    </x:row>
    <x:row r="23" ht="116" customHeight="1">
      <x:c r="A23" s="28" t="str">
        <x:v>M017</x:v>
      </x:c>
      <x:c r="B23" s="28" t="str">
        <x:v>P1</x:v>
      </x:c>
      <x:c r="C23" s="28" t="str">
        <x:v>Seat inventory</x:v>
      </x:c>
      <x:c r="D23" s="28" t="str">
        <x:v>Make booking holds idempotent and durably expire/release seats</x:v>
      </x:c>
      <x:c r="E23" s="28" t="str">
        <x:v>Earlier source work; acceptance open</x:v>
      </x:c>
      <x:c r="F23" s="28" t="str">
        <x:v>No new completion claim in this increment.</x:v>
      </x:c>
      <x:c r="G23" s="28" t="str">
        <x:v>Bounded expiry job, cancellation and hold idempotency work; concurrent last-seat/expiry/confirmation tests conserve inventory and never produce negative or stranded seats.</x:v>
      </x:c>
      <x:c r="H23" s="28" t="str">
        <x:v>Backend + database QA</x:v>
      </x:c>
      <x:c r="I23" s="28" t="str">
        <x:v>M015</x:v>
      </x:c>
      <x:c r="J23" s="28" t="str">
        <x:v>Idempotent holds and durable expiry/release implemented in forward SQL body; concurrency DB test pending.</x:v>
      </x:c>
      <x:c r="K23" s="28" t="str">
        <x:v>Not evidenced by these deliveries</x:v>
      </x:c>
      <x:c r="L23" s="28" t="str">
        <x:v>https://drive.google.com/file/d/15X3_uSbHztLL57IL_d3Xo9hc9zInJuyN/view</x:v>
      </x:c>
    </x:row>
    <x:row r="24" ht="116" customHeight="1">
      <x:c r="A24" s="28" t="str">
        <x:v>M018</x:v>
      </x:c>
      <x:c r="B24" s="28" t="str">
        <x:v>P1</x:v>
      </x:c>
      <x:c r="C24" s="28" t="str">
        <x:v>Payment receipts</x:v>
      </x:c>
      <x:c r="D24" s="28" t="str">
        <x:v>Bind one provider receipt atomically to one intended booking and exact amount/currency</x:v>
      </x:c>
      <x:c r="E24" s="28" t="str">
        <x:v>Earlier source work; acceptance open</x:v>
      </x:c>
      <x:c r="F24" s="28" t="str">
        <x:v>No new completion claim in this increment.</x:v>
      </x:c>
      <x:c r="G24" s="28" t="str">
        <x:v>Duplicate reference on same booking is idempotent; reference reuse on another booking is rejected; amount/currency and issuer authority are checked under concurrent confirmation.</x:v>
      </x:c>
      <x:c r="H24" s="28" t="str">
        <x:v>Backend + payments owner</x:v>
      </x:c>
      <x:c r="I24" s="28" t="str">
        <x:v>M015; M020</x:v>
      </x:c>
      <x:c r="J24" s="28" t="str">
        <x:v>Receipt-to-booking binding and cross-booking reuse rejection implemented; real DB concurrency/payment tests pending.</x:v>
      </x:c>
      <x:c r="K24" s="28" t="str">
        <x:v>Not evidenced by these deliveries</x:v>
      </x:c>
      <x:c r="L24" s="28" t="str">
        <x:v>https://drive.google.com/file/d/15X3_uSbHztLL57IL_d3Xo9hc9zInJuyN/view</x:v>
      </x:c>
    </x:row>
    <x:row r="25" ht="116" customHeight="1">
      <x:c r="A25" s="28" t="str">
        <x:v>M019</x:v>
      </x:c>
      <x:c r="B25" s="28" t="str">
        <x:v>P1</x:v>
      </x:c>
      <x:c r="C25" s="28" t="str">
        <x:v>Subscription periods</x:v>
      </x:c>
      <x:c r="D25" s="28" t="str">
        <x:v>Serialize paid subscription renewals by profile and vehicle type</x:v>
      </x:c>
      <x:c r="E25" s="28" t="str">
        <x:v>Earlier source work; acceptance open</x:v>
      </x:c>
      <x:c r="F25" s="28" t="str">
        <x:v>No new completion claim in this increment.</x:v>
      </x:c>
      <x:c r="G25" s="28" t="str">
        <x:v>Deterministic two-session test with distinct receipts preserves both paid durations without overlap; duplicate invoice retry creates exactly one activation; expiry boundaries are explicit.</x:v>
      </x:c>
      <x:c r="H25" s="28" t="str">
        <x:v>Backend + database QA</x:v>
      </x:c>
      <x:c r="I25" s="28" t="str">
        <x:v>M016</x:v>
      </x:c>
      <x:c r="J25" s="28" t="str">
        <x:v>Entitlement serialization candidate exists in strict receipt body; real two-session DB test pending.</x:v>
      </x:c>
      <x:c r="K25" s="28" t="str">
        <x:v>Not evidenced by these deliveries</x:v>
      </x:c>
      <x:c r="L25" s="28" t="str">
        <x:v>https://drive.google.com/file/d/15X3_uSbHztLL57IL_d3Xo9hc9zInJuyN/view</x:v>
      </x:c>
    </x:row>
    <x:row r="26" ht="116" customHeight="1">
      <x:c r="A26" s="28" t="str">
        <x:v>M020</x:v>
      </x:c>
      <x:c r="B26" s="28" t="str">
        <x:v>P1</x:v>
      </x:c>
      <x:c r="C26" s="28" t="str">
        <x:v>Merchant configuration</x:v>
      </x:c>
      <x:c r="D26" s="28" t="str">
        <x:v>Make merchant identity, currency and receipt formats explicit validated configuration</x:v>
      </x:c>
      <x:c r="E26" s="28" t="str">
        <x:v>Earlier source work; acceptance open</x:v>
      </x:c>
      <x:c r="F26" s="28" t="str">
        <x:v>No new completion claim in this increment.</x:v>
      </x:c>
      <x:c r="G26" s="28" t="str">
        <x:v>Each enabled collector maps to approved merchant/account/operator/currency and parser fixtures; missing or wrong configuration blocks auto-credit with visible reason; no guessed merchant identifier.</x:v>
      </x:c>
      <x:c r="H26" s="28" t="str">
        <x:v>Payments operations + backend</x:v>
      </x:c>
      <x:c r="I26" s="28" t="str">
        <x:v>Approved merchant/operator inventory</x:v>
      </x:c>
      <x:c r="J26" s="28" t="str">
        <x:v>Explicit merchant/sender policy structure implemented; approved live operator configuration not supplied.</x:v>
      </x:c>
      <x:c r="K26" s="28" t="str">
        <x:v>Not evidenced by these deliveries</x:v>
      </x:c>
      <x:c r="L26" s="28" t="str">
        <x:v>https://drive.google.com/file/d/15X3_uSbHztLL57IL_d3Xo9hc9zInJuyN/view</x:v>
      </x:c>
    </x:row>
    <x:row r="27" ht="116" customHeight="1">
      <x:c r="A27" s="28" t="str">
        <x:v>M021</x:v>
      </x:c>
      <x:c r="B27" s="28" t="str">
        <x:v>P1</x:v>
      </x:c>
      <x:c r="C27" s="28" t="str">
        <x:v>Financial retries</x:v>
      </x:c>
      <x:c r="D27" s="28" t="str">
        <x:v>Use durable account-scoped wallet operation IDs and reconcile uncertain outcomes</x:v>
      </x:c>
      <x:c r="E27" s="28" t="str">
        <x:v>Open; no completion evidence</x:v>
      </x:c>
      <x:c r="F27" s="28" t="str">
        <x:v>No new completion claim in this increment.</x:v>
      </x:c>
      <x:c r="G27" s="28" t="str">
        <x:v>Response loss, process restart, account switch and failed storage retain correct operation identity or block unsafe retry; committed operation is discoverable; duplicate retry cannot charge twice.</x:v>
      </x:c>
      <x:c r="H27" s="28" t="str">
        <x:v>Flutter + backend</x:v>
      </x:c>
      <x:c r="I27" s="28" t="str">
        <x:v>M003; M006; M054</x:v>
      </x:c>
      <x:c r="J27" s="28" t="str">
        <x:v>No completion claimed by these increments. Original audit acceptance criteria remain applicable.</x:v>
      </x:c>
      <x:c r="K27" s="28" t="str">
        <x:v>Not evidenced by these deliveries</x:v>
      </x:c>
      <x:c r="L27" s="28" t="str">
        <x:v>https://drive.google.com/file/d/15X3_uSbHztLL57IL_d3Xo9hc9zInJuyN/view</x:v>
      </x:c>
    </x:row>
    <x:row r="28" ht="116" customHeight="1">
      <x:c r="A28" s="28" t="str">
        <x:v>M022</x:v>
      </x:c>
      <x:c r="B28" s="28" t="str">
        <x:v>P1</x:v>
      </x:c>
      <x:c r="C28" s="28" t="str">
        <x:v>Financial boundaries</x:v>
      </x:c>
      <x:c r="D28" s="28" t="str">
        <x:v>Specify and test refunds, cancellation, monetary precision and time boundaries</x:v>
      </x:c>
      <x:c r="E28" s="28" t="str">
        <x:v>Open; no completion evidence</x:v>
      </x:c>
      <x:c r="F28" s="28" t="str">
        <x:v>No new completion claim in this increment.</x:v>
      </x:c>
      <x:c r="G28" s="28" t="str">
        <x:v>Approved rules and tests cover invalid/zero/negative/large amounts, currency, timezone/day rollover, duplicate refund, cancellation after payment and reconciliation; no new settlement engine is introduced.</x:v>
      </x:c>
      <x:c r="H28" s="28" t="str">
        <x:v>Product + payments + backend</x:v>
      </x:c>
      <x:c r="I28" s="28" t="str">
        <x:v>M017; M018; M019; M024</x:v>
      </x:c>
      <x:c r="J28" s="28" t="str">
        <x:v>No completion claimed by these increments. Original audit acceptance criteria remain applicable.</x:v>
      </x:c>
      <x:c r="K28" s="28" t="str">
        <x:v>Not evidenced by these deliveries</x:v>
      </x:c>
      <x:c r="L28" s="28" t="str">
        <x:v>https://drive.google.com/file/d/15X3_uSbHztLL57IL_d3Xo9hc9zInJuyN/view</x:v>
      </x:c>
    </x:row>
    <x:row r="29" ht="116" customHeight="1">
      <x:c r="A29" s="28" t="str">
        <x:v>M023</x:v>
      </x:c>
      <x:c r="B29" s="28" t="str">
        <x:v>P1</x:v>
      </x:c>
      <x:c r="C29" s="28" t="str">
        <x:v>Financial reconciliation</x:v>
      </x:c>
      <x:c r="D29" s="28" t="str">
        <x:v>Reconcile collector receipts, ingestion outcomes and activated invoices with operator records</x:v>
      </x:c>
      <x:c r="E29" s="28" t="str">
        <x:v>Open; no completion evidence</x:v>
      </x:c>
      <x:c r="F29" s="28" t="str">
        <x:v>No new completion claim in this increment.</x:v>
      </x:c>
      <x:c r="G29" s="28" t="str">
        <x:v>Daily exception report reconciles eligible receipts, duplicate/rejected/quarantined cases and credits to trusted operator evidence; lost receipt/manual resolution is audited without permissive auto-match.</x:v>
      </x:c>
      <x:c r="H29" s="28" t="str">
        <x:v>Payments operations + backend</x:v>
      </x:c>
      <x:c r="I29" s="28" t="str">
        <x:v>M016; M028; M034</x:v>
      </x:c>
      <x:c r="J29" s="28" t="str">
        <x:v>No completion claimed by these increments. Original audit acceptance criteria remain applicable.</x:v>
      </x:c>
      <x:c r="K29" s="28" t="str">
        <x:v>Not evidenced by these deliveries</x:v>
      </x:c>
      <x:c r="L29" s="28" t="str">
        <x:v>https://drive.google.com/file/d/15X3_uSbHztLL57IL_d3Xo9hc9zInJuyN/view</x:v>
      </x:c>
    </x:row>
    <x:row r="30" ht="116" customHeight="1">
      <x:c r="A30" s="28" t="str">
        <x:v>M024</x:v>
      </x:c>
      <x:c r="B30" s="28" t="str">
        <x:v>P1</x:v>
      </x:c>
      <x:c r="C30" s="28" t="str">
        <x:v>Operating authority</x:v>
      </x:c>
      <x:c r="D30" s="28" t="str">
        <x:v>Obtain a feature-specific payments/transport classification and responsibility decision</x:v>
      </x:c>
      <x:c r="E30" s="28" t="str">
        <x:v>Open; no completion evidence</x:v>
      </x:c>
      <x:c r="F30" s="28" t="str">
        <x:v>No new completion claim in this increment.</x:v>
      </x:c>
      <x:c r="G30" s="28" t="str">
        <x:v>Current primary rules and actual funds flow support a written decision for each enabled paid feature; provider/agency contracts, responsible entity and customer promises are recorded; unresolved features stay disabled.</x:v>
      </x:c>
      <x:c r="H30" s="28" t="str">
        <x:v>Product lead + qualified Rwanda counsel</x:v>
      </x:c>
      <x:c r="I30" s="28" t="str">
        <x:v>Feature and funds-flow draft; coordinate with refund design</x:v>
      </x:c>
      <x:c r="J30" s="28" t="str">
        <x:v>No completion claimed by these increments. Original audit acceptance criteria remain applicable.</x:v>
      </x:c>
      <x:c r="K30" s="28" t="str">
        <x:v>Not evidenced by these deliveries</x:v>
      </x:c>
      <x:c r="L30" s="28" t="str">
        <x:v>https://drive.google.com/file/d/15X3_uSbHztLL57IL_d3Xo9hc9zInJuyN/view</x:v>
      </x:c>
    </x:row>
    <x:row r="31" ht="116" customHeight="1">
      <x:c r="A31" s="28" t="str">
        <x:v>M025</x:v>
      </x:c>
      <x:c r="B31" s="28" t="str">
        <x:v>P1</x:v>
      </x:c>
      <x:c r="C31" s="28" t="str">
        <x:v>Collector signing</x:v>
      </x:c>
      <x:c r="D31" s="28" t="str">
        <x:v>Replace debug-keystore operational packaging with a managed production signing/update path</x:v>
      </x:c>
      <x:c r="E31" s="28" t="str">
        <x:v>Earlier source work; acceptance open</x:v>
      </x:c>
      <x:c r="F31" s="28" t="str">
        <x:v>No new completion claim in this increment.</x:v>
      </x:c>
      <x:c r="G31" s="28" t="str">
        <x:v>Distribution artifact uses approved managed signing; signature/version verified; enrolled request-signing identity and pending receipts survive supported updates or a documented controlled migration.</x:v>
      </x:c>
      <x:c r="H31" s="28" t="str">
        <x:v>Android release + fleet operations</x:v>
      </x:c>
      <x:c r="I31" s="28" t="str">
        <x:v>M002</x:v>
      </x:c>
      <x:c r="J31" s="28" t="str">
        <x:v>Managed collector signing guard; non-destructive installer verifies independently approved certificate. Six parser tests pass; no signed APK/key rotation/fleet update observed.</x:v>
      </x:c>
      <x:c r="K31" s="28" t="str">
        <x:v>Not evidenced by these deliveries</x:v>
      </x:c>
      <x:c r="L31" s="28" t="str">
        <x:v>https://drive.google.com/file/d/15X3_uSbHztLL57IL_d3Xo9hc9zInJuyN/view</x:v>
      </x:c>
    </x:row>
    <x:row r="32" ht="116" customHeight="1">
      <x:c r="A32" s="28" t="str">
        <x:v>M026</x:v>
      </x:c>
      <x:c r="B32" s="28" t="str">
        <x:v>P1</x:v>
      </x:c>
      <x:c r="C32" s="28" t="str">
        <x:v>Collection minimization</x:v>
      </x:c>
      <x:c r="D32" s="28" t="str">
        <x:v>Filter eligible receipt data on-device and present a clear upload/AI-processing notice</x:v>
      </x:c>
      <x:c r="E32" s="28" t="str">
        <x:v>Earlier source work; acceptance open</x:v>
      </x:c>
      <x:c r="F32" s="28" t="str">
        <x:v>No new completion claim in this increment.</x:v>
      </x:c>
      <x:c r="G32" s="28" t="str">
        <x:v>Unrelated sender/content fixtures never enter queue or network; notice explains purpose, recipients, retention and support before access; changed formats route to minimal controlled review without auto-credit.</x:v>
      </x:c>
      <x:c r="H32" s="28" t="str">
        <x:v>Android + privacy + payments</x:v>
      </x:c>
      <x:c r="I32" s="28" t="str">
        <x:v>M020</x:v>
      </x:c>
      <x:c r="J32" s="28" t="str">
        <x:v>Literal on-device sender/marker filter, opt-in fingerprinted notice and pause control implemented. Pure policy tests pass; Android permission/device behavior and actual operator formats not accepted.</x:v>
      </x:c>
      <x:c r="K32" s="28" t="str">
        <x:v>Not evidenced by these deliveries</x:v>
      </x:c>
      <x:c r="L32" s="28" t="str">
        <x:v>https://drive.google.com/file/d/15X3_uSbHztLL57IL_d3Xo9hc9zInJuyN/view</x:v>
      </x:c>
    </x:row>
    <x:row r="33" ht="116" customHeight="1">
      <x:c r="A33" s="28" t="str">
        <x:v>M027</x:v>
      </x:c>
      <x:c r="B33" s="28" t="str">
        <x:v>P1</x:v>
      </x:c>
      <x:c r="C33" s="28" t="str">
        <x:v>Distribution policy</x:v>
      </x:c>
      <x:c r="D33" s="28" t="str">
        <x:v>Document private fleet distribution and obtain SMS/FGS approval if using public Play</x:v>
      </x:c>
      <x:c r="E33" s="28" t="str">
        <x:v>Earlier source work; acceptance open</x:v>
      </x:c>
      <x:c r="F33" s="28" t="str">
        <x:v>No new completion claim in this increment.</x:v>
      </x:c>
      <x:c r="G33" s="28" t="str">
        <x:v>Actual channel and authorized device population recorded; applicable Play exception/permission and foreground-service review evidence supplied before public distribution; private-policy claims match access controls.</x:v>
      </x:c>
      <x:c r="H33" s="28" t="str">
        <x:v>Android release + compliance</x:v>
      </x:c>
      <x:c r="I33" s="28" t="str">
        <x:v>M025; M026</x:v>
      </x:c>
      <x:c r="J33" s="28" t="str">
        <x:v>Private-fleet/public-store boundary documented. No channel approval, SMS exception or FGS approval obtained.</x:v>
      </x:c>
      <x:c r="K33" s="28" t="str">
        <x:v>Not evidenced by these deliveries</x:v>
      </x:c>
      <x:c r="L33" s="28" t="str">
        <x:v>https://drive.google.com/file/d/15X3_uSbHztLL57IL_d3Xo9hc9zInJuyN/view</x:v>
      </x:c>
    </x:row>
    <x:row r="34" ht="116" customHeight="1">
      <x:c r="A34" s="28" t="str">
        <x:v>M028</x:v>
      </x:c>
      <x:c r="B34" s="28" t="str">
        <x:v>P1</x:v>
      </x:c>
      <x:c r="C34" s="28" t="str">
        <x:v>Durable queue</x:v>
      </x:c>
      <x:c r="D34" s="28" t="str">
        <x:v>Use a transactional bounded receipt queue with corruption quarantine and retained acknowledgement state</x:v>
      </x:c>
      <x:c r="E34" s="28" t="str">
        <x:v>Earlier source work; acceptance open</x:v>
      </x:c>
      <x:c r="F34" s="28" t="str">
        <x:v>No new completion claim in this increment.</x:v>
      </x:c>
      <x:c r="G34" s="28" t="str">
        <x:v>Crash/restart/disk-full/corrupt-row and partial-ack tests preserve eligible records; bounded batches/age/bytes and dedupe retention verified; capacity alerts precede exhaustion; migration is lossless.</x:v>
      </x:c>
      <x:c r="H34" s="28" t="str">
        <x:v>Android + backend</x:v>
      </x:c>
      <x:c r="I34" s="28" t="str">
        <x:v>M026</x:v>
      </x:c>
      <x:c r="J34" s="28" t="str">
        <x:v>Bounded transactional SQLite adapter with legacy migration/quarantine and raw-body removal on acknowledgement implemented. Fifteen actual SQLite schema/DML tests pass; Android adapter tests authored but not run; supervised recovery still required.</x:v>
      </x:c>
      <x:c r="K34" s="28" t="str">
        <x:v>Not evidenced by these deliveries</x:v>
      </x:c>
      <x:c r="L34" s="28" t="str">
        <x:v>https://drive.google.com/file/d/15X3_uSbHztLL57IL_d3Xo9hc9zInJuyN/view</x:v>
      </x:c>
    </x:row>
    <x:row r="35" ht="116" customHeight="1">
      <x:c r="A35" s="28" t="str">
        <x:v>M029</x:v>
      </x:c>
      <x:c r="B35" s="28" t="str">
        <x:v>P1</x:v>
      </x:c>
      <x:c r="C35" s="28" t="str">
        <x:v>Retry coordination</x:v>
      </x:c>
      <x:c r="D35" s="28" t="str">
        <x:v>Centralize collector work leasing, backoff and response handling</x:v>
      </x:c>
      <x:c r="E35" s="28" t="str">
        <x:v>Updated in Increment04</x:v>
      </x:c>
      <x:c r="F35" s="28" t="str">
        <x:v>Durable worker retry/lease code and sanitized retry outcomes; provider and database acceptance remain open.</x:v>
      </x:c>
      <x:c r="G35" s="28" t="str">
        <x:v>Test actual retry/timeout/offline delivery and operator reconciliation.</x:v>
      </x:c>
      <x:c r="H35" s="28" t="str">
        <x:v>Android + backend</x:v>
      </x:c>
      <x:c r="I35" s="28" t="str">
        <x:v>M028</x:v>
      </x:c>
      <x:c r="J35" s="28" t="str">
        <x:v>Shared OS file lease including separate-process tests, persisted jitter/backoff, bounded batches and KEEP scheduling implemented. Android/WorkManager lifecycle acceptance not run.</x:v>
      </x:c>
      <x:c r="K35" s="28" t="str">
        <x:v>Not evidenced by these deliveries</x:v>
      </x:c>
      <x:c r="L35" s="28" t="str">
        <x:v>https://drive.google.com/file/d/15X3_uSbHztLL57IL_d3Xo9hc9zInJuyN/view</x:v>
      </x:c>
    </x:row>
    <x:row r="36" ht="116" customHeight="1">
      <x:c r="A36" s="28" t="str">
        <x:v>M030</x:v>
      </x:c>
      <x:c r="B36" s="28" t="str">
        <x:v>P1</x:v>
      </x:c>
      <x:c r="C36" s="28" t="str">
        <x:v>Collector lifecycle</x:v>
      </x:c>
      <x:c r="D36" s="28" t="str">
        <x:v>Verify boot, force-stop, OEM battery and Android job-quota behavior on managed devices</x:v>
      </x:c>
      <x:c r="E36" s="28" t="str">
        <x:v>Earlier source work; acceptance open</x:v>
      </x:c>
      <x:c r="F36" s="28" t="str">
        <x:v>No new completion claim in this increment.</x:v>
      </x:c>
      <x:c r="G36" s="28" t="str">
        <x:v>Real fleet models pass reboot/update/offline/process-death/Doze/restricted-permission cases; force-stop and OEM limitations are visible with reconciliation instructions; no fictitious always-on guarantee.</x:v>
      </x:c>
      <x:c r="H36" s="28" t="str">
        <x:v>Android QA + fleet operations</x:v>
      </x:c>
      <x:c r="I36" s="28" t="str">
        <x:v>M025; M028; M029</x:v>
      </x:c>
      <x:c r="J36" s="28" t="str">
        <x:v>Version-bound device/OEM/reboot/update acceptance matrix and isolated QA tests added. No physical-device result.</x:v>
      </x:c>
      <x:c r="K36" s="28" t="str">
        <x:v>Not evidenced by these deliveries</x:v>
      </x:c>
      <x:c r="L36" s="28" t="str">
        <x:v>https://drive.google.com/file/d/15X3_uSbHztLL57IL_d3Xo9hc9zInJuyN/view</x:v>
      </x:c>
    </x:row>
    <x:row r="37" ht="116" customHeight="1">
      <x:c r="A37" s="28" t="str">
        <x:v>M031</x:v>
      </x:c>
      <x:c r="B37" s="28" t="str">
        <x:v>P1</x:v>
      </x:c>
      <x:c r="C37" s="28" t="str">
        <x:v>Legacy ingest authority</x:v>
      </x:c>
      <x:c r="D37" s="28" t="str">
        <x:v>Inventory deployed legacy SMS callers and retire or harden shared-secret ingest aliases</x:v>
      </x:c>
      <x:c r="E37" s="28" t="str">
        <x:v>Earlier source work; acceptance open</x:v>
      </x:c>
      <x:c r="F37" s="28" t="str">
        <x:v>No new completion claim in this increment.</x:v>
      </x:c>
      <x:c r="G37" s="28" t="str">
        <x:v>Deployed endpoint/caller inventory complete; unused routes return a controlled retirement response; retained routes use registered collector authority, replay/body/rate bounds and monitored migration.</x:v>
      </x:c>
      <x:c r="H37" s="28" t="str">
        <x:v>Backend + security + operations</x:v>
      </x:c>
      <x:c r="I37" s="28" t="str">
        <x:v>M016; M029</x:v>
      </x:c>
      <x:c r="J37" s="28" t="str">
        <x:v>Legacy global-secret SMS POST routes return controlled retirement; local handler fixtures pass; deployment/caller inventory pending.</x:v>
      </x:c>
      <x:c r="K37" s="28" t="str">
        <x:v>Not evidenced by these deliveries</x:v>
      </x:c>
      <x:c r="L37" s="28" t="str">
        <x:v>https://drive.google.com/file/d/15X3_uSbHztLL57IL_d3Xo9hc9zInJuyN/view</x:v>
      </x:c>
    </x:row>
    <x:row r="38" ht="116" customHeight="1">
      <x:c r="A38" s="28" t="str">
        <x:v>M032</x:v>
      </x:c>
      <x:c r="B38" s="28" t="str">
        <x:v>P1</x:v>
      </x:c>
      <x:c r="C38" s="28" t="str">
        <x:v>Backend intake</x:v>
      </x:c>
      <x:c r="D38" s="28" t="str">
        <x:v>Persist authenticated receipt admission before asynchronous parsing and allocation</x:v>
      </x:c>
      <x:c r="E38" s="28" t="str">
        <x:v>Updated in Increment04</x:v>
      </x:c>
      <x:c r="F38" s="28" t="str">
        <x:v>Asynchronous batch admission, private persistent queue, separate worker and lease-fenced allocator completion implemented. 86 Node handler fixtures pass; SQL not executed.</x:v>
      </x:c>
      <x:c r="G38" s="28" t="str">
        <x:v>Execute body07, full-schema financial tests and real collector-to-worker staging end to end; then approve rollout.</x:v>
      </x:c>
      <x:c r="H38" s="28" t="str">
        <x:v>Backend + SRE</x:v>
      </x:c>
      <x:c r="I38" s="28" t="str">
        <x:v>M016; M028; M029</x:v>
      </x:c>
      <x:c r="J38" s="28" t="str">
        <x:v>Full asynchronous durable backend intake/worker is NOT implemented. Eligible batch parsing remains sequential; health/admission preflight does not close this task.</x:v>
      </x:c>
      <x:c r="K38" s="28" t="str">
        <x:v>Not evidenced by these deliveries</x:v>
      </x:c>
      <x:c r="L38" s="28" t="str">
        <x:v>https://drive.google.com/file/d/15X3_uSbHztLL57IL_d3Xo9hc9zInJuyN/view</x:v>
      </x:c>
    </x:row>
    <x:row r="39" ht="116" customHeight="1">
      <x:c r="A39" s="28" t="str">
        <x:v>M033</x:v>
      </x:c>
      <x:c r="B39" s="28" t="str">
        <x:v>P1</x:v>
      </x:c>
      <x:c r="C39" s="28" t="str">
        <x:v>Fleet security</x:v>
      </x:c>
      <x:c r="D39" s="28" t="str">
        <x:v>Establish dedicated institutional devices/SIMs, enrollment, revocation and replacement procedures</x:v>
      </x:c>
      <x:c r="E39" s="28" t="str">
        <x:v>Earlier source work; acceptance open</x:v>
      </x:c>
      <x:c r="F39" s="28" t="str">
        <x:v>No new completion claim in this increment.</x:v>
      </x:c>
      <x:c r="G39" s="28" t="str">
        <x:v>Named custodians and inventory; dedicated SIM restriction, screen/device protection, enrollment approval, lost-device revocation, replacement/export policy and staff training rehearsed with no personal-SMS collection.</x:v>
      </x:c>
      <x:c r="H39" s="28" t="str">
        <x:v>Fleet operations + security</x:v>
      </x:c>
      <x:c r="I39" s="28" t="str">
        <x:v>M025; M026; M027</x:v>
      </x:c>
      <x:c r="J39" s="28" t="str">
        <x:v>Fleet custodian/enrollment/revocation/recovery responsibilities documented; actual organizational inventory and exercises remain open.</x:v>
      </x:c>
      <x:c r="K39" s="28" t="str">
        <x:v>Not evidenced by these deliveries</x:v>
      </x:c>
      <x:c r="L39" s="28" t="str">
        <x:v>https://drive.google.com/file/d/15X3_uSbHztLL57IL_d3Xo9hc9zInJuyN/view</x:v>
      </x:c>
    </x:row>
    <x:row r="40" ht="116" customHeight="1">
      <x:c r="A40" s="28" t="str">
        <x:v>M034</x:v>
      </x:c>
      <x:c r="B40" s="28" t="str">
        <x:v>P1</x:v>
      </x:c>
      <x:c r="C40" s="28" t="str">
        <x:v>Collector health</x:v>
      </x:c>
      <x:c r="D40" s="28" t="str">
        <x:v>Expose truthful enrolled/configured/connected/acknowledged state and backlog age</x:v>
      </x:c>
      <x:c r="E40" s="28" t="str">
        <x:v>Updated in Increment04</x:v>
      </x:c>
      <x:c r="F40" s="28" t="str">
        <x:v>Signed health now reads intake storage, queue/review counts and worker heartbeat; scheduling templates supplied.</x:v>
      </x:c>
      <x:c r="G40" s="28" t="str">
        <x:v>Exercise real fleet health, alerts, worker scheduling and acknowledgement semantics on devices.</x:v>
      </x:c>
      <x:c r="H40" s="28" t="str">
        <x:v>Android + operations</x:v>
      </x:c>
      <x:c r="I40" s="28" t="str">
        <x:v>M028; M029; M032</x:v>
      </x:c>
      <x:c r="J40" s="28" t="str">
        <x:v>Signed server-health handshake, separate allocation state, freshness, queue/review/capacity status and safe UI failure state implemented. Actual handler fixtures pass; Android UI not run.</x:v>
      </x:c>
      <x:c r="K40" s="28" t="str">
        <x:v>Not evidenced by these deliveries</x:v>
      </x:c>
      <x:c r="L40" s="28" t="str">
        <x:v>https://drive.google.com/file/d/15X3_uSbHztLL57IL_d3Xo9hc9zInJuyN/view</x:v>
      </x:c>
    </x:row>
    <x:row r="41" ht="116" customHeight="1">
      <x:c r="A41" s="28" t="str">
        <x:v>M035</x:v>
      </x:c>
      <x:c r="B41" s="28" t="str">
        <x:v>P1</x:v>
      </x:c>
      <x:c r="C41" s="28" t="str">
        <x:v>Face release policy</x:v>
      </x:c>
      <x:c r="D41" s="28" t="str">
        <x:v>Keep Face-USSD disabled until exact current scope is accepted and health surfaces agree</x:v>
      </x:c>
      <x:c r="E41" s="28" t="str">
        <x:v>Open; no completion evidence</x:v>
      </x:c>
      <x:c r="F41" s="28" t="str">
        <x:v>No new completion claim in this increment.</x:v>
      </x:c>
      <x:c r="G41" s="28" t="str">
        <x:v>One versioned decision binds approved no-liveness recipient lookup, model/policy/index and health semantics; enablement requires acceptance; manual/QR alternatives remain usable; dialer launch never means settlement.</x:v>
      </x:c>
      <x:c r="H41" s="28" t="str">
        <x:v>Product + backend + release</x:v>
      </x:c>
      <x:c r="I41" s="28" t="str">
        <x:v>M036; M037; M038; M039; M040; M067; M068</x:v>
      </x:c>
      <x:c r="J41" s="28" t="str">
        <x:v>No completion claimed by these increments. Original audit acceptance criteria remain applicable.</x:v>
      </x:c>
      <x:c r="K41" s="28" t="str">
        <x:v>Not evidenced by these deliveries</x:v>
      </x:c>
      <x:c r="L41" s="28" t="str">
        <x:v>https://drive.google.com/file/d/15X3_uSbHztLL57IL_d3Xo9hc9zInJuyN/view</x:v>
      </x:c>
    </x:row>
    <x:row r="42" ht="116" customHeight="1">
      <x:c r="A42" s="28" t="str">
        <x:v>M036</x:v>
      </x:c>
      <x:c r="B42" s="28" t="str">
        <x:v>P1</x:v>
      </x:c>
      <x:c r="C42" s="28" t="str">
        <x:v>Inference artifact</x:v>
      </x:c>
      <x:c r="D42" s="28" t="str">
        <x:v>Build and verify the exact Linux inference image, models and private service bindings</x:v>
      </x:c>
      <x:c r="E42" s="28" t="str">
        <x:v>Open; no completion evidence</x:v>
      </x:c>
      <x:c r="F42" s="28" t="str">
        <x:v>No new completion claim in this increment.</x:v>
      </x:c>
      <x:c r="G42" s="28" t="str">
        <x:v>Immutable image/model digests and licences recorded; real health/embed tests pass in Linux container; Worker authentication, private binding, index dimension/version and environment isolation verified.</x:v>
      </x:c>
      <x:c r="H42" s="28" t="str">
        <x:v>Platform + ML engineer</x:v>
      </x:c>
      <x:c r="I42" s="28" t="str">
        <x:v>M077; M082</x:v>
      </x:c>
      <x:c r="J42" s="28" t="str">
        <x:v>No completion claimed by these increments. Original audit acceptance criteria remain applicable.</x:v>
      </x:c>
      <x:c r="K42" s="28" t="str">
        <x:v>Not evidenced by these deliveries</x:v>
      </x:c>
      <x:c r="L42" s="28" t="str">
        <x:v>https://drive.google.com/file/d/15X3_uSbHztLL57IL_d3Xo9hc9zInJuyN/view</x:v>
      </x:c>
    </x:row>
    <x:row r="43" ht="116" customHeight="1">
      <x:c r="A43" s="28" t="str">
        <x:v>M037</x:v>
      </x:c>
      <x:c r="B43" s="28" t="str">
        <x:v>P1</x:v>
      </x:c>
      <x:c r="C43" s="28" t="str">
        <x:v>Deployment contracts</x:v>
      </x:c>
      <x:c r="D43" s="28" t="str">
        <x:v>Rehearse latest face migrations, PostgREST/Edge, Vault and scheduled maintenance together</x:v>
      </x:c>
      <x:c r="E43" s="28" t="str">
        <x:v>Open; no completion evidence</x:v>
      </x:c>
      <x:c r="F43" s="28" t="str">
        <x:v>No new completion claim in this increment.</x:v>
      </x:c>
      <x:c r="G43" s="28" t="str">
        <x:v>Full-schema rehearsal verifies exact RPC argument/privilege/session contract; deployment history, secrets presence and scheduled execution read back; activation and deletion converge after provider interruption.</x:v>
      </x:c>
      <x:c r="H43" s="28" t="str">
        <x:v>Backend + platform + database QA</x:v>
      </x:c>
      <x:c r="I43" s="28" t="str">
        <x:v>M036; M078</x:v>
      </x:c>
      <x:c r="J43" s="28" t="str">
        <x:v>No completion claimed by these increments. Original audit acceptance criteria remain applicable.</x:v>
      </x:c>
      <x:c r="K43" s="28" t="str">
        <x:v>Not evidenced by these deliveries</x:v>
      </x:c>
      <x:c r="L43" s="28" t="str">
        <x:v>https://drive.google.com/file/d/15X3_uSbHztLL57IL_d3Xo9hc9zInJuyN/view</x:v>
      </x:c>
    </x:row>
    <x:row r="44" ht="116" customHeight="1">
      <x:c r="A44" s="28" t="str">
        <x:v>M038</x:v>
      </x:c>
      <x:c r="B44" s="28" t="str">
        <x:v>P1</x:v>
      </x:c>
      <x:c r="C44" s="28" t="str">
        <x:v>Matching acceptance</x:v>
      </x:c>
      <x:c r="D44" s="28" t="str">
        <x:v>Calibrate and independently accept matching thresholds and cross-owner margins</x:v>
      </x:c>
      <x:c r="E44" s="28" t="str">
        <x:v>Open; no completion evidence</x:v>
      </x:c>
      <x:c r="F44" s="28" t="str">
        <x:v>No new completion claim in this increment.</x:v>
      </x:c>
      <x:c r="G44" s="28" t="str">
        <x:v>Pre-agreed error/latency criteria; held-out consented cohort covering lighting, skin tones, age and devices; report denominators, gallery size, uncertainty and thresholds/model hash; ambiguous matches fail safely.</x:v>
      </x:c>
      <x:c r="H44" s="28" t="str">
        <x:v>ML QA + product + privacy</x:v>
      </x:c>
      <x:c r="I44" s="28" t="str">
        <x:v>M036; M067; M068</x:v>
      </x:c>
      <x:c r="J44" s="28" t="str">
        <x:v>No completion claimed by these increments. Original audit acceptance criteria remain applicable.</x:v>
      </x:c>
      <x:c r="K44" s="28" t="str">
        <x:v>Not evidenced by these deliveries</x:v>
      </x:c>
      <x:c r="L44" s="28" t="str">
        <x:v>https://drive.google.com/file/d/15X3_uSbHztLL57IL_d3Xo9hc9zInJuyN/view</x:v>
      </x:c>
    </x:row>
    <x:row r="45" ht="116" customHeight="1">
      <x:c r="A45" s="28" t="str">
        <x:v>M039</x:v>
      </x:c>
      <x:c r="B45" s="28" t="str">
        <x:v>P1</x:v>
      </x:c>
      <x:c r="C45" s="28" t="str">
        <x:v>Biometric deletion</x:v>
      </x:c>
      <x:c r="D45" s="28" t="str">
        <x:v>Exercise pause/remove/replacement and delayed-upsert cleanup end to end</x:v>
      </x:c>
      <x:c r="E45" s="28" t="str">
        <x:v>Open; no completion evidence</x:v>
      </x:c>
      <x:c r="F45" s="28" t="str">
        <x:v>No new completion claim in this increment.</x:v>
      </x:c>
      <x:c r="G45" s="28" t="str">
        <x:v>Immediate discovery exclusion plus eventual verified vector absence; cancellation, replacement, delayed insert, provider outage and restored-backup cases pass; cleanup owner/SLA and tombstone retention approved.</x:v>
      </x:c>
      <x:c r="H45" s="28" t="str">
        <x:v>Backend QA + privacy + operations</x:v>
      </x:c>
      <x:c r="I45" s="28" t="str">
        <x:v>M036; M037</x:v>
      </x:c>
      <x:c r="J45" s="28" t="str">
        <x:v>No completion claimed by these increments. Original audit acceptance criteria remain applicable.</x:v>
      </x:c>
      <x:c r="K45" s="28" t="str">
        <x:v>Not evidenced by these deliveries</x:v>
      </x:c>
      <x:c r="L45" s="28" t="str">
        <x:v>https://drive.google.com/file/d/15X3_uSbHztLL57IL_d3Xo9hc9zInJuyN/view</x:v>
      </x:c>
    </x:row>
    <x:row r="46" ht="116" customHeight="1">
      <x:c r="A46" s="28" t="str">
        <x:v>M040</x:v>
      </x:c>
      <x:c r="B46" s="28" t="str">
        <x:v>P1</x:v>
      </x:c>
      <x:c r="C46" s="28" t="str">
        <x:v>Camera-to-USSD acceptance</x:v>
      </x:c>
      <x:c r="D46" s="28" t="str">
        <x:v>Run physical-device face capture through one correct operator dialer handoff</x:v>
      </x:c>
      <x:c r="E46" s="28" t="str">
        <x:v>Open; no completion evidence</x:v>
      </x:c>
      <x:c r="F46" s="28" t="str">
        <x:v>No new completion claim in this increment.</x:v>
      </x:c>
      <x:c r="G46" s="28" t="str">
        <x:v>Selected receiving method/number resolves correctly; changed/paused payee, timeout, interruption, cancellation, restart, dual-SIM and denial cases pass; one amount-free Android handoff; iOS fallback is clear.</x:v>
      </x:c>
      <x:c r="H46" s="28" t="str">
        <x:v>Mobile QA + operator liaison</x:v>
      </x:c>
      <x:c r="I46" s="28" t="str">
        <x:v>M036; M037; M038; M046; M051</x:v>
      </x:c>
      <x:c r="J46" s="28" t="str">
        <x:v>No completion claimed by these increments. Original audit acceptance criteria remain applicable.</x:v>
      </x:c>
      <x:c r="K46" s="28" t="str">
        <x:v>Not evidenced by these deliveries</x:v>
      </x:c>
      <x:c r="L46" s="28" t="str">
        <x:v>https://drive.google.com/file/d/15X3_uSbHztLL57IL_d3Xo9hc9zInJuyN/view</x:v>
      </x:c>
    </x:row>
    <x:row r="47" ht="116" customHeight="1">
      <x:c r="A47" s="28" t="str">
        <x:v>M041</x:v>
      </x:c>
      <x:c r="B47" s="28" t="str">
        <x:v>P1</x:v>
      </x:c>
      <x:c r="C47" s="28" t="str">
        <x:v>Launch capacity</x:v>
      </x:c>
      <x:c r="D47" s="28" t="str">
        <x:v>Measure cold/warm latency, burst admission and regional network performance at the launch workload</x:v>
      </x:c>
      <x:c r="E47" s="28" t="str">
        <x:v>Open; no completion evidence</x:v>
      </x:c>
      <x:c r="F47" s="28" t="str">
        <x:v>No new completion claim in this increment.</x:v>
      </x:c>
      <x:c r="G47" s="28" t="str">
        <x:v>Approved workload and p95/error budget met from target Rwandan networks; report busy/cold-start/index latency/memory/CPU; bounded capacity and safe retry decisions use results rather than autoscaling assumptions.</x:v>
      </x:c>
      <x:c r="H47" s="28" t="str">
        <x:v>Performance + platform + ML</x:v>
      </x:c>
      <x:c r="I47" s="28" t="str">
        <x:v>M036; M038</x:v>
      </x:c>
      <x:c r="J47" s="28" t="str">
        <x:v>No completion claimed by these increments. Original audit acceptance criteria remain applicable.</x:v>
      </x:c>
      <x:c r="K47" s="28" t="str">
        <x:v>Not evidenced by these deliveries</x:v>
      </x:c>
      <x:c r="L47" s="28" t="str">
        <x:v>https://drive.google.com/file/d/15X3_uSbHztLL57IL_d3Xo9hc9zInJuyN/view</x:v>
      </x:c>
    </x:row>
    <x:row r="48" ht="116" customHeight="1">
      <x:c r="A48" s="28" t="str">
        <x:v>M042</x:v>
      </x:c>
      <x:c r="B48" s="28" t="str">
        <x:v>P2</x:v>
      </x:c>
      <x:c r="C48" s="28" t="str">
        <x:v>Inference serving</x:v>
      </x:c>
      <x:c r="D48" s="28" t="str">
        <x:v>Use bounded production HTTP serving with graceful drain and failure limits</x:v>
      </x:c>
      <x:c r="E48" s="28" t="str">
        <x:v>Earlier source work; acceptance open</x:v>
      </x:c>
      <x:c r="F48" s="28" t="str">
        <x:v>No new completion claim in this increment.</x:v>
      </x:c>
      <x:c r="G48" s="28" t="str">
        <x:v>Saturation, slow/truncated/oversized body, concurrent request, termination during inference and restart tests pass; no raw payload logs or arbitrary URL fetch; concurrency and deadlines remain bounded.</x:v>
      </x:c>
      <x:c r="H48" s="28" t="str">
        <x:v>Backend + platform</x:v>
      </x:c>
      <x:c r="I48" s="28" t="str">
        <x:v>M036; M041</x:v>
      </x:c>
      <x:c r="J48" s="28" t="str">
        <x:v>Inference HTTP service bounded/draining behavior implemented and 16 tests pass; real Linux model/image and load acceptance pending.</x:v>
      </x:c>
      <x:c r="K48" s="28" t="str">
        <x:v>Not evidenced by these deliveries</x:v>
      </x:c>
      <x:c r="L48" s="28" t="str">
        <x:v>https://drive.google.com/file/d/15X3_uSbHztLL57IL_d3Xo9hc9zInJuyN/view</x:v>
      </x:c>
    </x:row>
    <x:row r="49" ht="116" customHeight="1">
      <x:c r="A49" s="28" t="str">
        <x:v>M043</x:v>
      </x:c>
      <x:c r="B49" s="28" t="str">
        <x:v>P1</x:v>
      </x:c>
      <x:c r="C49" s="28" t="str">
        <x:v>Face state consistency</x:v>
      </x:c>
      <x:c r="D49" s="28" t="str">
        <x:v>Test cross-system enrollment/lookup races and fail-closed identity transitions</x:v>
      </x:c>
      <x:c r="E49" s="28" t="str">
        <x:v>Open; no completion evidence</x:v>
      </x:c>
      <x:c r="F49" s="28" t="str">
        <x:v>No new completion claim in this increment.</x:v>
      </x:c>
      <x:c r="G49" s="28" t="str">
        <x:v>Concurrent enrollment/replacement, account switch, consent withdrawal, route change, expired ticket, model mismatch and ambiguous result cannot produce a stale payee handoff; retries preserve at-most-once semantics.</x:v>
      </x:c>
      <x:c r="H49" s="28" t="str">
        <x:v>Backend + Flutter QA</x:v>
      </x:c>
      <x:c r="I49" s="28" t="str">
        <x:v>M037; M039; M055</x:v>
      </x:c>
      <x:c r="J49" s="28" t="str">
        <x:v>No completion claimed by these increments. Original audit acceptance criteria remain applicable.</x:v>
      </x:c>
      <x:c r="K49" s="28" t="str">
        <x:v>Not evidenced by these deliveries</x:v>
      </x:c>
      <x:c r="L49" s="28" t="str">
        <x:v>https://drive.google.com/file/d/15X3_uSbHztLL57IL_d3Xo9hc9zInJuyN/view</x:v>
      </x:c>
    </x:row>
    <x:row r="50" ht="116" customHeight="1">
      <x:c r="A50" s="28" t="str">
        <x:v>M044</x:v>
      </x:c>
      <x:c r="B50" s="28" t="str">
        <x:v>P1</x:v>
      </x:c>
      <x:c r="C50" s="28" t="str">
        <x:v>Android release</x:v>
      </x:c>
      <x:c r="D50" s="28" t="str">
        <x:v>Target API 36 and verify Android 16 behavior for the consumer release</x:v>
      </x:c>
      <x:c r="E50" s="28" t="str">
        <x:v>Earlier source work; acceptance open</x:v>
      </x:c>
      <x:c r="F50" s="28" t="str">
        <x:v>No new completion claim in this increment.</x:v>
      </x:c>
      <x:c r="G50" s="28" t="str">
        <x:v>Release manifest confirms target36; edge-to-edge, predictive back, large-screen layouts, foreground services and permissions pass; actual Play preflight/extension status recorded separately from existing-app availability.</x:v>
      </x:c>
      <x:c r="H50" s="28" t="str">
        <x:v>Android + Flutter + QA</x:v>
      </x:c>
      <x:c r="I50" s="28" t="str">
        <x:v>M074; M077</x:v>
      </x:c>
      <x:c r="J50" s="28" t="str">
        <x:v>Consumer targetSdk set to 36; signed Android 16 build/device/Play preflight not run.</x:v>
      </x:c>
      <x:c r="K50" s="28" t="str">
        <x:v>Not evidenced by these deliveries</x:v>
      </x:c>
      <x:c r="L50" s="28" t="str">
        <x:v>https://drive.google.com/file/d/15X3_uSbHztLL57IL_d3Xo9hc9zInJuyN/view</x:v>
      </x:c>
    </x:row>
    <x:row r="51" ht="116" customHeight="1">
      <x:c r="A51" s="28" t="str">
        <x:v>M045</x:v>
      </x:c>
      <x:c r="B51" s="28" t="str">
        <x:v>P1</x:v>
      </x:c>
      <x:c r="C51" s="28" t="str">
        <x:v>Android native libraries</x:v>
      </x:c>
      <x:c r="D51" s="28" t="str">
        <x:v>Verify every shipped native library and release package on 16 KB pages</x:v>
      </x:c>
      <x:c r="E51" s="28" t="str">
        <x:v>Open; no completion evidence</x:v>
      </x:c>
      <x:c r="F51" s="28" t="str">
        <x:v>No new completion claim in this increment.</x:v>
      </x:c>
      <x:c r="G51" s="28" t="str">
        <x:v>Inspect exact AAB/APKs and ELF/RELRO alignment, run zip alignment checks, install and exercise native/camera paths on 16 KB device/emulator; retain artifact evidence before 2027-02-01 update enforcement.</x:v>
      </x:c>
      <x:c r="H51" s="28" t="str">
        <x:v>Android release + QA</x:v>
      </x:c>
      <x:c r="I51" s="28" t="str">
        <x:v>M044; M081</x:v>
      </x:c>
      <x:c r="J51" s="28" t="str">
        <x:v>No completion claimed by these increments. Original audit acceptance criteria remain applicable.</x:v>
      </x:c>
      <x:c r="K51" s="28" t="str">
        <x:v>Not evidenced by these deliveries</x:v>
      </x:c>
      <x:c r="L51" s="28" t="str">
        <x:v>https://drive.google.com/file/d/15X3_uSbHztLL57IL_d3Xo9hc9zInJuyN/view</x:v>
      </x:c>
    </x:row>
    <x:row r="52" ht="116" customHeight="1">
      <x:c r="A52" s="28" t="str">
        <x:v>M046</x:v>
      </x:c>
      <x:c r="B52" s="28" t="str">
        <x:v>P1</x:v>
      </x:c>
      <x:c r="C52" s="28" t="str">
        <x:v>iOS release</x:v>
      </x:c>
      <x:c r="D52" s="28" t="str">
        <x:v>Produce a signed Xcode 26+ archive and verify production entitlements/device behavior</x:v>
      </x:c>
      <x:c r="E52" s="28" t="str">
        <x:v>Open; no completion evidence</x:v>
      </x:c>
      <x:c r="F52" s="28" t="str">
        <x:v>No new completion claim in this increment.</x:v>
      </x:c>
      <x:c r="G52" s="28" t="str">
        <x:v>Xcode/iOS SDK versions asserted; signed archive entitlements/provisioning verified; TestFlight install, APNs, camera/location/NFC and recovery pass on supported iPhones; no native macOS product is implied.</x:v>
      </x:c>
      <x:c r="H52" s="28" t="str">
        <x:v>iOS release + QA</x:v>
      </x:c>
      <x:c r="I52" s="28" t="str">
        <x:v>M002; M077; M081</x:v>
      </x:c>
      <x:c r="J52" s="28" t="str">
        <x:v>No completion claimed by these increments. Original audit acceptance criteria remain applicable.</x:v>
      </x:c>
      <x:c r="K52" s="28" t="str">
        <x:v>Not evidenced by these deliveries</x:v>
      </x:c>
      <x:c r="L52" s="28" t="str">
        <x:v>https://drive.google.com/file/d/15X3_uSbHztLL57IL_d3Xo9hc9zInJuyN/view</x:v>
      </x:c>
    </x:row>
    <x:row r="53" ht="116" customHeight="1">
      <x:c r="A53" s="28" t="str">
        <x:v>M047</x:v>
      </x:c>
      <x:c r="B53" s="28" t="str">
        <x:v>P1</x:v>
      </x:c>
      <x:c r="C53" s="28" t="str">
        <x:v>NFC lifecycle</x:v>
      </x:c>
      <x:c r="D53" s="28" t="str">
        <x:v>Enforce NFC advertisement expiry and owner lifecycle in the native APDU service</x:v>
      </x:c>
      <x:c r="E53" s="28" t="str">
        <x:v>Earlier source work; acceptance open</x:v>
      </x:c>
      <x:c r="F53" s="28" t="str">
        <x:v>No new completion claim in this increment.</x:v>
      </x:c>
      <x:c r="G53" s="28" t="str">
        <x:v>Expired, signed-out, reset, changed-owner and restarted states cannot serve stale payload; exact APDU validation tested; explicit stop clears persistent material and UI reflects current state.</x:v>
      </x:c>
      <x:c r="H53" s="28" t="str">
        <x:v>Android + Flutter</x:v>
      </x:c>
      <x:c r="I53" s="28" t="str">
        <x:v>M007; M055</x:v>
      </x:c>
      <x:c r="J53" s="28" t="str">
        <x:v>NFC native expiry/APDU policy implemented and 20 JVM scenarios pass; hardware/process/device acceptance pending.</x:v>
      </x:c>
      <x:c r="K53" s="28" t="str">
        <x:v>Not evidenced by these deliveries</x:v>
      </x:c>
      <x:c r="L53" s="28" t="str">
        <x:v>https://drive.google.com/file/d/15X3_uSbHztLL57IL_d3Xo9hc9zInJuyN/view</x:v>
      </x:c>
    </x:row>
    <x:row r="54" ht="116" customHeight="1">
      <x:c r="A54" s="28" t="str">
        <x:v>M048</x:v>
      </x:c>
      <x:c r="B54" s="28" t="str">
        <x:v>P1</x:v>
      </x:c>
      <x:c r="C54" s="28" t="str">
        <x:v>Verified links</x:v>
      </x:c>
      <x:c r="D54" s="28" t="str">
        <x:v>Verify Android App Links and iOS Universal Links against actual signed application identities</x:v>
      </x:c>
      <x:c r="E54" s="28" t="str">
        <x:v>Open; no completion evidence</x:v>
      </x:c>
      <x:c r="F54" s="28" t="str">
        <x:v>No new completion claim in this increment.</x:v>
      </x:c>
      <x:c r="G54" s="28" t="str">
        <x:v>Production association files match package/bundle and current signing identities; payment/auth/admin link open, malformed link, browser fallback and reinstall cases pass without open redirects or account confusion.</x:v>
      </x:c>
      <x:c r="H54" s="28" t="str">
        <x:v>Mobile + web release QA</x:v>
      </x:c>
      <x:c r="I54" s="28" t="str">
        <x:v>M002; M044; M046</x:v>
      </x:c>
      <x:c r="J54" s="28" t="str">
        <x:v>No completion claimed by these increments. Original audit acceptance criteria remain applicable.</x:v>
      </x:c>
      <x:c r="K54" s="28" t="str">
        <x:v>Not evidenced by these deliveries</x:v>
      </x:c>
      <x:c r="L54" s="28" t="str">
        <x:v>https://drive.google.com/file/d/15X3_uSbHztLL57IL_d3Xo9hc9zInJuyN/view</x:v>
      </x:c>
    </x:row>
    <x:row r="55" ht="116" customHeight="1">
      <x:c r="A55" s="28" t="str">
        <x:v>M049</x:v>
      </x:c>
      <x:c r="B55" s="28" t="str">
        <x:v>P1</x:v>
      </x:c>
      <x:c r="C55" s="28" t="str">
        <x:v>Permissions and FGS</x:v>
      </x:c>
      <x:c r="D55" s="28" t="str">
        <x:v>Align minimum permissions, background location and foreground-service declarations with visible product use</x:v>
      </x:c>
      <x:c r="E55" s="28" t="str">
        <x:v>Open; no completion evidence</x:v>
      </x:c>
      <x:c r="F55" s="28" t="str">
        <x:v>No new completion claim in this increment.</x:v>
      </x:c>
      <x:c r="G55" s="28" t="str">
        <x:v>Permission-denied/revoked/background states behave safely; background location disclosure/video and applicable FGS purpose declarations accepted for actual release; no unused permissions or misleading always-on promise.</x:v>
      </x:c>
      <x:c r="H55" s="28" t="str">
        <x:v>Android/iOS + privacy + release</x:v>
      </x:c>
      <x:c r="I55" s="28" t="str">
        <x:v>M056; M065</x:v>
      </x:c>
      <x:c r="J55" s="28" t="str">
        <x:v>No completion claimed by these increments. Original audit acceptance criteria remain applicable.</x:v>
      </x:c>
      <x:c r="K55" s="28" t="str">
        <x:v>Not evidenced by these deliveries</x:v>
      </x:c>
      <x:c r="L55" s="28" t="str">
        <x:v>https://drive.google.com/file/d/15X3_uSbHztLL57IL_d3Xo9hc9zInJuyN/view</x:v>
      </x:c>
    </x:row>
    <x:row r="56" ht="116" customHeight="1">
      <x:c r="A56" s="28" t="str">
        <x:v>M050</x:v>
      </x:c>
      <x:c r="B56" s="28" t="str">
        <x:v>P1</x:v>
      </x:c>
      <x:c r="C56" s="28" t="str">
        <x:v>SDK privacy</x:v>
      </x:c>
      <x:c r="D56" s="28" t="str">
        <x:v>Audit bundled SDK data collection, required-reason APIs and archive privacy manifests</x:v>
      </x:c>
      <x:c r="E56" s="28" t="str">
        <x:v>Open; no completion evidence</x:v>
      </x:c>
      <x:c r="F56" s="28" t="str">
        <x:v>No new completion claim in this increment.</x:v>
      </x:c>
      <x:c r="G56" s="28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H56" s="28" t="str">
        <x:v>iOS/Android + privacy</x:v>
      </x:c>
      <x:c r="I56" s="28" t="str">
        <x:v>M046; M065; M068</x:v>
      </x:c>
      <x:c r="J56" s="28" t="str">
        <x:v>No completion claimed by these increments. Original audit acceptance criteria remain applicable.</x:v>
      </x:c>
      <x:c r="K56" s="28" t="str">
        <x:v>Not evidenced by these deliveries</x:v>
      </x:c>
      <x:c r="L56" s="28" t="str">
        <x:v>https://drive.google.com/file/d/15X3_uSbHztLL57IL_d3Xo9hc9zInJuyN/view</x:v>
      </x:c>
    </x:row>
    <x:row r="57" ht="116" customHeight="1">
      <x:c r="A57" s="28" t="str">
        <x:v>M051</x:v>
      </x:c>
      <x:c r="B57" s="28" t="str">
        <x:v>P1</x:v>
      </x:c>
      <x:c r="C57" s="28" t="str">
        <x:v>Operator continuity</x:v>
      </x:c>
      <x:c r="D57" s="28" t="str">
        <x:v>Validate USSD/SMS on current Rwanda operators, SIM options and 4G/VoLTE devices</x:v>
      </x:c>
      <x:c r="E57" s="28" t="str">
        <x:v>Open; no completion evidence</x:v>
      </x:c>
      <x:c r="F57" s="28" t="str">
        <x:v>No new completion claim in this increment.</x:v>
      </x:c>
      <x:c r="G57" s="28" t="str">
        <x:v>Approved handset/SIM/operator matrix covers dual-SIM, permission defaults, low coverage and 4G/VoLTE; track 2027-06-30 3G transition guidance without claiming USSD disappears; collector hardware choice is evidence-based.</x:v>
      </x:c>
      <x:c r="H57" s="28" t="str">
        <x:v>Operator liaison + mobile QA</x:v>
      </x:c>
      <x:c r="I57" s="28" t="str">
        <x:v>M044; M046</x:v>
      </x:c>
      <x:c r="J57" s="28" t="str">
        <x:v>No completion claimed by these increments. Original audit acceptance criteria remain applicable.</x:v>
      </x:c>
      <x:c r="K57" s="28" t="str">
        <x:v>Not evidenced by these deliveries</x:v>
      </x:c>
      <x:c r="L57" s="28" t="str">
        <x:v>https://drive.google.com/file/d/15X3_uSbHztLL57IL_d3Xo9hc9zInJuyN/view</x:v>
      </x:c>
    </x:row>
    <x:row r="58" ht="116" customHeight="1">
      <x:c r="A58" s="28" t="str">
        <x:v>M052</x:v>
      </x:c>
      <x:c r="B58" s="28" t="str">
        <x:v>P1</x:v>
      </x:c>
      <x:c r="C58" s="28" t="str">
        <x:v>Store readiness</x:v>
      </x:c>
      <x:c r="D58" s="28" t="str">
        <x:v>Reconcile store content, version identity, age-rating questions and reviewer instructions</x:v>
      </x:c>
      <x:c r="E58" s="28" t="str">
        <x:v>Open; no completion evidence</x:v>
      </x:c>
      <x:c r="F58" s="28" t="str">
        <x:v>No new completion claim in this increment.</x:v>
      </x:c>
      <x:c r="G58" s="28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H58" s="28" t="str">
        <x:v>Release + product + privacy</x:v>
      </x:c>
      <x:c r="I58" s="28" t="str">
        <x:v>M011; M044; M046; M050; M065</x:v>
      </x:c>
      <x:c r="J58" s="28" t="str">
        <x:v>No completion claimed by these increments. Original audit acceptance criteria remain applicable.</x:v>
      </x:c>
      <x:c r="K58" s="28" t="str">
        <x:v>Not evidenced by these deliveries</x:v>
      </x:c>
      <x:c r="L58" s="28" t="str">
        <x:v>https://drive.google.com/file/d/15X3_uSbHztLL57IL_d3Xo9hc9zInJuyN/view</x:v>
      </x:c>
    </x:row>
    <x:row r="59" ht="116" customHeight="1">
      <x:c r="A59" s="28" t="str">
        <x:v>M053</x:v>
      </x:c>
      <x:c r="B59" s="28" t="str">
        <x:v>P1</x:v>
      </x:c>
      <x:c r="C59" s="28" t="str">
        <x:v>Startup resilience</x:v>
      </x:c>
      <x:c r="D59" s="28" t="str">
        <x:v>Bound minimum bootstrap and defer optional Firebase/config/push work</x:v>
      </x:c>
      <x:c r="E59" s="28" t="str">
        <x:v>Open; no completion evidence</x:v>
      </x:c>
      <x:c r="F59" s="28" t="str">
        <x:v>No new completion claim in this increment.</x:v>
      </x:c>
      <x:c r="G59" s="28" t="str">
        <x:v>Airplane mode, slow DNS, captive portal and Firebase outage produce usable cached/retry states; mandatory configuration still fails closed; cold/warm release launch measurements meet agreed budget.</x:v>
      </x:c>
      <x:c r="H59" s="28" t="str">
        <x:v>Flutter</x:v>
      </x:c>
      <x:c r="I59" s="28" t="str">
        <x:v>M012</x:v>
      </x:c>
      <x:c r="J59" s="28" t="str">
        <x:v>No completion claimed by these increments. Original audit acceptance criteria remain applicable.</x:v>
      </x:c>
      <x:c r="K59" s="28" t="str">
        <x:v>Not evidenced by these deliveries</x:v>
      </x:c>
      <x:c r="L59" s="28" t="str">
        <x:v>https://drive.google.com/file/d/15X3_uSbHztLL57IL_d3Xo9hc9zInJuyN/view</x:v>
      </x:c>
    </x:row>
    <x:row r="60" ht="116" customHeight="1">
      <x:c r="A60" s="28" t="str">
        <x:v>M054</x:v>
      </x:c>
      <x:c r="B60" s="28" t="str">
        <x:v>P1</x:v>
      </x:c>
      <x:c r="C60" s="28" t="str">
        <x:v>Request outcomes</x:v>
      </x:c>
      <x:c r="D60" s="28" t="str">
        <x:v>Standardize request deadlines and distinguish unknown mutation outcomes from failure</x:v>
      </x:c>
      <x:c r="E60" s="28" t="str">
        <x:v>Open; no completion evidence</x:v>
      </x:c>
      <x:c r="F60" s="28" t="str">
        <x:v>No new completion claim in this increment.</x:v>
      </x:c>
      <x:c r="G60" s="28" t="str">
        <x:v>Read timeouts show recoverable unavailable states; writes retain operation identity and query status after response loss; no false payment-success label or blind duplicated mutation.</x:v>
      </x:c>
      <x:c r="H60" s="28" t="str">
        <x:v>Flutter + backend</x:v>
      </x:c>
      <x:c r="I60" s="28" t="str">
        <x:v>M091; shared operation-outcome contract</x:v>
      </x:c>
      <x:c r="J60" s="28" t="str">
        <x:v>No completion claimed by these increments. Original audit acceptance criteria remain applicable.</x:v>
      </x:c>
      <x:c r="K60" s="28" t="str">
        <x:v>Not evidenced by these deliveries</x:v>
      </x:c>
      <x:c r="L60" s="28" t="str">
        <x:v>https://drive.google.com/file/d/15X3_uSbHztLL57IL_d3Xo9hc9zInJuyN/view</x:v>
      </x:c>
    </x:row>
    <x:row r="61" ht="116" customHeight="1">
      <x:c r="A61" s="28" t="str">
        <x:v>M055</x:v>
      </x:c>
      <x:c r="B61" s="28" t="str">
        <x:v>P1</x:v>
      </x:c>
      <x:c r="C61" s="28" t="str">
        <x:v>Account-bound async work</x:v>
      </x:c>
      <x:c r="D61" s="28" t="str">
        <x:v>Apply account and generation checks across Profile, shell, bookings and pending operations</x:v>
      </x:c>
      <x:c r="E61" s="28" t="str">
        <x:v>Open; no completion evidence</x:v>
      </x:c>
      <x:c r="F61" s="28" t="str">
        <x:v>No new completion claim in this increment.</x:v>
      </x:c>
      <x:c r="G61" s="28" t="str">
        <x:v>Delay A responses until after B signs in; no A profile/role/data changes B UI; rapid mode/search changes discard stale results and disposed work cannot restore listeners.</x:v>
      </x:c>
      <x:c r="H61" s="28" t="str">
        <x:v>Flutter</x:v>
      </x:c>
      <x:c r="I61" s="28" t="str">
        <x:v>M007</x:v>
      </x:c>
      <x:c r="J61" s="28" t="str">
        <x:v>No completion claimed by these increments. Original audit acceptance criteria remain applicable.</x:v>
      </x:c>
      <x:c r="K61" s="28" t="str">
        <x:v>Not evidenced by these deliveries</x:v>
      </x:c>
      <x:c r="L61" s="28" t="str">
        <x:v>https://drive.google.com/file/d/15X3_uSbHztLL57IL_d3Xo9hc9zInJuyN/view</x:v>
      </x:c>
    </x:row>
    <x:row r="62" ht="116" customHeight="1">
      <x:c r="A62" s="28" t="str">
        <x:v>M056</x:v>
      </x:c>
      <x:c r="B62" s="28" t="str">
        <x:v>P1</x:v>
      </x:c>
      <x:c r="C62" s="28" t="str">
        <x:v>Location authority</x:v>
      </x:c>
      <x:c r="D62" s="28" t="str">
        <x:v>Bind driver sharing to its account and enforce server freshness, radius and result caps</x:v>
      </x:c>
      <x:c r="E62" s="28" t="str">
        <x:v>Earlier source work; acceptance open</x:v>
      </x:c>
      <x:c r="F62" s="28" t="str">
        <x:v>No new completion claim in this increment.</x:v>
      </x:c>
      <x:c r="G62" s="28" t="str">
        <x:v>Concurrent start/stop/account changes cannot resurrect sharing; stale presence excluded on all surfaces; bounded radius/limit and coordinate precision follow purpose; denied/revoked permission marks unavailable/offline.</x:v>
      </x:c>
      <x:c r="H62" s="28" t="str">
        <x:v>Flutter + backend + privacy</x:v>
      </x:c>
      <x:c r="I62" s="28" t="str">
        <x:v>M007; M055</x:v>
      </x:c>
      <x:c r="J62" s="28" t="str">
        <x:v>Nearby RPC freshness/10km/50 cap and direct-read restriction body prepared; real DB/geospatial/load/device test pending.</x:v>
      </x:c>
      <x:c r="K62" s="28" t="str">
        <x:v>Not evidenced by these deliveries</x:v>
      </x:c>
      <x:c r="L62" s="28" t="str">
        <x:v>https://drive.google.com/file/d/15X3_uSbHztLL57IL_d3Xo9hc9zInJuyN/view</x:v>
      </x:c>
    </x:row>
    <x:row r="63" ht="116" customHeight="1">
      <x:c r="A63" s="28" t="str">
        <x:v>M057</x:v>
      </x:c>
      <x:c r="B63" s="28" t="str">
        <x:v>P1</x:v>
      </x:c>
      <x:c r="C63" s="28" t="str">
        <x:v>Truthful status</x:v>
      </x:c>
      <x:c r="D63" s="28" t="str">
        <x:v>Represent unknown/unavailable face state distinctly from not enrolled</x:v>
      </x:c>
      <x:c r="E63" s="28" t="str">
        <x:v>Earlier source work; acceptance open</x:v>
      </x:c>
      <x:c r="F63" s="28" t="str">
        <x:v>No new completion claim in this increment.</x:v>
      </x:c>
      <x:c r="G63" s="28" t="str">
        <x:v>Existing enrollment is never displayed as absent solely from service failure; loading, unavailable and approved cached state are distinct; retry and pause/remove recovery remain usable.</x:v>
      </x:c>
      <x:c r="H63" s="28" t="str">
        <x:v>Flutter</x:v>
      </x:c>
      <x:c r="I63" s="28" t="str">
        <x:v>M055</x:v>
      </x:c>
      <x:c r="J63" s="28" t="str">
        <x:v>Face-service outage represented as unavailable rather than not-started; Flutter UI runtime test pending.</x:v>
      </x:c>
      <x:c r="K63" s="28" t="str">
        <x:v>Not evidenced by these deliveries</x:v>
      </x:c>
      <x:c r="L63" s="28" t="str">
        <x:v>https://drive.google.com/file/d/15X3_uSbHztLL57IL_d3Xo9hc9zInJuyN/view</x:v>
      </x:c>
    </x:row>
    <x:row r="64" ht="116" customHeight="1">
      <x:c r="A64" s="28" t="str">
        <x:v>M058</x:v>
      </x:c>
      <x:c r="B64" s="28" t="str">
        <x:v>P1</x:v>
      </x:c>
      <x:c r="C64" s="28" t="str">
        <x:v>Launch localization</x:v>
      </x:c>
      <x:c r="D64" s="28" t="str">
        <x:v>Complete and review critical journeys in each promised launch language</x:v>
      </x:c>
      <x:c r="E64" s="28" t="str">
        <x:v>Open; no completion evidence</x:v>
      </x:c>
      <x:c r="F64" s="28" t="str">
        <x:v>No new completion claim in this increment.</x:v>
      </x:c>
      <x:c r="G64" s="28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H64" s="28" t="str">
        <x:v>Flutter + localization + product</x:v>
      </x:c>
      <x:c r="I64" s="28" t="str">
        <x:v>M065</x:v>
      </x:c>
      <x:c r="J64" s="28" t="str">
        <x:v>No completion claimed by these increments. Original audit acceptance criteria remain applicable.</x:v>
      </x:c>
      <x:c r="K64" s="28" t="str">
        <x:v>Not evidenced by these deliveries</x:v>
      </x:c>
      <x:c r="L64" s="28" t="str">
        <x:v>https://drive.google.com/file/d/15X3_uSbHztLL57IL_d3Xo9hc9zInJuyN/view</x:v>
      </x:c>
    </x:row>
    <x:row r="65" ht="116" customHeight="1">
      <x:c r="A65" s="28" t="str">
        <x:v>M059</x:v>
      </x:c>
      <x:c r="B65" s="28" t="str">
        <x:v>P2</x:v>
      </x:c>
      <x:c r="C65" s="28" t="str">
        <x:v>Secondary localization</x:v>
      </x:c>
      <x:c r="D65" s="28" t="str">
        <x:v>Finish secondary/admin copy and locale-aware dates, pluralization and currency</x:v>
      </x:c>
      <x:c r="E65" s="28" t="str">
        <x:v>Open; no completion evidence</x:v>
      </x:c>
      <x:c r="F65" s="28" t="str">
        <x:v>No new completion claim in this increment.</x:v>
      </x:c>
      <x:c r="G65" s="28" t="str">
        <x:v>Inventory of remaining hardcoded user-facing copy closed or explicitly deferred; each supported locale has reviewed plural/date/currency behavior and screenshots without truncation.</x:v>
      </x:c>
      <x:c r="H65" s="28" t="str">
        <x:v>Flutter + localization</x:v>
      </x:c>
      <x:c r="I65" s="28" t="str">
        <x:v>M058</x:v>
      </x:c>
      <x:c r="J65" s="28" t="str">
        <x:v>No completion claimed by these increments. Original audit acceptance criteria remain applicable.</x:v>
      </x:c>
      <x:c r="K65" s="28" t="str">
        <x:v>Not evidenced by these deliveries</x:v>
      </x:c>
      <x:c r="L65" s="28" t="str">
        <x:v>https://drive.google.com/file/d/15X3_uSbHztLL57IL_d3Xo9hc9zInJuyN/view</x:v>
      </x:c>
    </x:row>
    <x:row r="66" ht="116" customHeight="1">
      <x:c r="A66" s="28" t="str">
        <x:v>M060</x:v>
      </x:c>
      <x:c r="B66" s="28" t="str">
        <x:v>P1</x:v>
      </x:c>
      <x:c r="C66" s="28" t="str">
        <x:v>Accessibility</x:v>
      </x:c>
      <x:c r="D66" s="28" t="str">
        <x:v>Run existing accessibility coverage and physical assistive-technology journey acceptance</x:v>
      </x:c>
      <x:c r="E66" s="28" t="str">
        <x:v>Open; no completion evidence</x:v>
      </x:c>
      <x:c r="F66" s="28" t="str">
        <x:v>No new completion claim in this increment.</x:v>
      </x:c>
      <x:c r="G66" s="28" t="str">
        <x:v>TalkBack/VoiceOver, keyboard, 200% text, contrast/touch targets, focus, error announcements and reduced motion pass across accepted journeys and screen sizes; intended automatic handoff is clearly announced.</x:v>
      </x:c>
      <x:c r="H66" s="28" t="str">
        <x:v>QA + design + Flutter</x:v>
      </x:c>
      <x:c r="I66" s="28" t="str">
        <x:v>M053; M058; M076</x:v>
      </x:c>
      <x:c r="J66" s="28" t="str">
        <x:v>No completion claimed by these increments. Original audit acceptance criteria remain applicable.</x:v>
      </x:c>
      <x:c r="K66" s="28" t="str">
        <x:v>Not evidenced by these deliveries</x:v>
      </x:c>
      <x:c r="L66" s="28" t="str">
        <x:v>https://drive.google.com/file/d/15X3_uSbHztLL57IL_d3Xo9hc9zInJuyN/view</x:v>
      </x:c>
    </x:row>
    <x:row r="67" ht="116" customHeight="1">
      <x:c r="A67" s="28" t="str">
        <x:v>M061</x:v>
      </x:c>
      <x:c r="B67" s="28" t="str">
        <x:v>P2</x:v>
      </x:c>
      <x:c r="C67" s="28" t="str">
        <x:v>Chat reliability</x:v>
      </x:c>
      <x:c r="D67" s="28" t="str">
        <x:v>Add stable client-message IDs, uncertain-send reconciliation and cursor history</x:v>
      </x:c>
      <x:c r="E67" s="28" t="str">
        <x:v>Open; no completion evidence</x:v>
      </x:c>
      <x:c r="F67" s="28" t="str">
        <x:v>No new completion claim in this increment.</x:v>
      </x:c>
      <x:c r="G67" s="28" t="str">
        <x:v>Lost acknowledgement/retry and restart yield one message; draft remains owner-scoped; reconnect recovery works; cursor pagination preserves ordering for conversations over 100 messages when full history is promised.</x:v>
      </x:c>
      <x:c r="H67" s="28" t="str">
        <x:v>Flutter + backend</x:v>
      </x:c>
      <x:c r="I67" s="28" t="str">
        <x:v>M007; M054</x:v>
      </x:c>
      <x:c r="J67" s="28" t="str">
        <x:v>No completion claimed by these increments. Original audit acceptance criteria remain applicable.</x:v>
      </x:c>
      <x:c r="K67" s="28" t="str">
        <x:v>Not evidenced by these deliveries</x:v>
      </x:c>
      <x:c r="L67" s="28" t="str">
        <x:v>https://drive.google.com/file/d/15X3_uSbHztLL57IL_d3Xo9hc9zInJuyN/view</x:v>
      </x:c>
    </x:row>
    <x:row r="68" ht="116" customHeight="1">
      <x:c r="A68" s="28" t="str">
        <x:v>M062</x:v>
      </x:c>
      <x:c r="B68" s="28" t="str">
        <x:v>P1</x:v>
      </x:c>
      <x:c r="C68" s="28" t="str">
        <x:v>Operational switches</x:v>
      </x:c>
      <x:c r="D68" s="28" t="str">
        <x:v>Implement exercised server feature controls and truthful client maintenance messaging</x:v>
      </x:c>
      <x:c r="E68" s="28" t="str">
        <x:v>Open; no completion evidence</x:v>
      </x:c>
      <x:c r="F68" s="28" t="str">
        <x:v>No new completion claim in this increment.</x:v>
      </x:c>
      <x:c r="G68" s="28" t="str">
        <x:v>Already-running clients respond to scoped suspension; server rejects affected writes; manual/QR/read-only recovery remains as approved; expiry/rollback and operator ownership are tested.</x:v>
      </x:c>
      <x:c r="H68" s="28" t="str">
        <x:v>Backend + Flutter + SRE</x:v>
      </x:c>
      <x:c r="I68" s="28" t="str">
        <x:v>M015; M016; approved enabled-feature scope</x:v>
      </x:c>
      <x:c r="J68" s="28" t="str">
        <x:v>No completion claimed by these increments. Original audit acceptance criteria remain applicable.</x:v>
      </x:c>
      <x:c r="K68" s="28" t="str">
        <x:v>Not evidenced by these deliveries</x:v>
      </x:c>
      <x:c r="L68" s="28" t="str">
        <x:v>https://drive.google.com/file/d/15X3_uSbHztLL57IL_d3Xo9hc9zInJuyN/view</x:v>
      </x:c>
    </x:row>
    <x:row r="69" ht="116" customHeight="1">
      <x:c r="A69" s="28" t="str">
        <x:v>M063</x:v>
      </x:c>
      <x:c r="B69" s="28" t="str">
        <x:v>P2</x:v>
      </x:c>
      <x:c r="C69" s="28" t="str">
        <x:v>Maintainability</x:v>
      </x:c>
      <x:c r="D69" s="28" t="str">
        <x:v>Refactor touched oversized screens and overloaded models into typed application/repository boundaries</x:v>
      </x:c>
      <x:c r="E69" s="28" t="str">
        <x:v>Open; no completion evidence</x:v>
      </x:c>
      <x:c r="F69" s="28" t="str">
        <x:v>No new completion claim in this increment.</x:v>
      </x:c>
      <x:c r="G69" s="28" t="str">
        <x:v>Typed person/trip/member-ID and RPC outcome contracts replace lossy seams; changed workflows have focused tests; preserve Riverpod/GoRouter and avoid an unrelated framework rewrite.</x:v>
      </x:c>
      <x:c r="H69" s="28" t="str">
        <x:v>Flutter technical lead</x:v>
      </x:c>
      <x:c r="I69" s="28" t="str">
        <x:v>M006; M007; M054</x:v>
      </x:c>
      <x:c r="J69" s="28" t="str">
        <x:v>No completion claimed by these increments. Original audit acceptance criteria remain applicable.</x:v>
      </x:c>
      <x:c r="K69" s="28" t="str">
        <x:v>Not evidenced by these deliveries</x:v>
      </x:c>
      <x:c r="L69" s="28" t="str">
        <x:v>https://drive.google.com/file/d/15X3_uSbHztLL57IL_d3Xo9hc9zInJuyN/view</x:v>
      </x:c>
    </x:row>
    <x:row r="70" ht="116" customHeight="1">
      <x:c r="A70" s="28" t="str">
        <x:v>M064</x:v>
      </x:c>
      <x:c r="B70" s="28" t="str">
        <x:v>P2</x:v>
      </x:c>
      <x:c r="C70" s="28" t="str">
        <x:v>Mobile performance</x:v>
      </x:c>
      <x:c r="D70" s="28" t="str">
        <x:v>Measure release/profile launch, frame timing, camera memory and location battery cost</x:v>
      </x:c>
      <x:c r="E70" s="28" t="str">
        <x:v>Open; no completion evidence</x:v>
      </x:c>
      <x:c r="F70" s="28" t="str">
        <x:v>No new completion claim in this increment.</x:v>
      </x:c>
      <x:c r="G70" s="28" t="str">
        <x:v>Representative lower-cost Android and iPhone reports include configuration and p50/p95; accepted budgets cover startup, jank, memory, upload size, battery/network and admin lists; optimize only demonstrated bottlenecks.</x:v>
      </x:c>
      <x:c r="H70" s="28" t="str">
        <x:v>Performance QA + Flutter/native</x:v>
      </x:c>
      <x:c r="I70" s="28" t="str">
        <x:v>M053; M056; M060</x:v>
      </x:c>
      <x:c r="J70" s="28" t="str">
        <x:v>No completion claimed by these increments. Original audit acceptance criteria remain applicable.</x:v>
      </x:c>
      <x:c r="K70" s="28" t="str">
        <x:v>Not evidenced by these deliveries</x:v>
      </x:c>
      <x:c r="L70" s="28" t="str">
        <x:v>https://drive.google.com/file/d/15X3_uSbHztLL57IL_d3Xo9hc9zInJuyN/view</x:v>
      </x:c>
    </x:row>
    <x:row r="71" ht="116" customHeight="1">
      <x:c r="A71" s="28" t="str">
        <x:v>M065</x:v>
      </x:c>
      <x:c r="B71" s="28" t="str">
        <x:v>P1</x:v>
      </x:c>
      <x:c r="C71" s="28" t="str">
        <x:v>Privacy inventory and notices</x:v>
      </x:c>
      <x:c r="D71" s="28" t="str">
        <x:v>Publish a current feature/data inventory and reconcile privacy, terms and deletion copy</x:v>
      </x:c>
      <x:c r="E71" s="28" t="str">
        <x:v>Open; no completion evidence</x:v>
      </x:c>
      <x:c r="F71" s="28" t="str">
        <x:v>No new completion claim in this increment.</x:v>
      </x:c>
      <x:c r="G71" s="28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H71" s="28" t="str">
        <x:v>Privacy + product + engineering</x:v>
      </x:c>
      <x:c r="I71" s="28" t="str">
        <x:v>M068; M024 if paid features enabled; M067 for enabled high-risk features</x:v>
      </x:c>
      <x:c r="J71" s="28" t="str">
        <x:v>No completion claimed by these increments. Original audit acceptance criteria remain applicable.</x:v>
      </x:c>
      <x:c r="K71" s="28" t="str">
        <x:v>Not evidenced by these deliveries</x:v>
      </x:c>
      <x:c r="L71" s="28" t="str">
        <x:v>https://drive.google.com/file/d/15X3_uSbHztLL57IL_d3Xo9hc9zInJuyN/view</x:v>
      </x:c>
    </x:row>
    <x:row r="72" ht="116" customHeight="1">
      <x:c r="A72" s="28" t="str">
        <x:v>M066</x:v>
      </x:c>
      <x:c r="B72" s="28" t="str">
        <x:v>P1</x:v>
      </x:c>
      <x:c r="C72" s="28" t="str">
        <x:v>Governance evidence</x:v>
      </x:c>
      <x:c r="D72" s="28" t="str">
        <x:v>Record operator/controller registration, overseas-storage scope and accountable DPO</x:v>
      </x:c>
      <x:c r="E72" s="28" t="str">
        <x:v>Open; no completion evidence</x:v>
      </x:c>
      <x:c r="F72" s="28" t="str">
        <x:v>No new completion claim in this increment.</x:v>
      </x:c>
      <x:c r="G72" s="28" t="str">
        <x:v>Current official requirements and entity applicability checked; certificate/expiry/conditions and DPO appointment/contact documented; outstanding conditions have owners and affected-feature decisions.</x:v>
      </x:c>
      <x:c r="H72" s="28" t="str">
        <x:v>Qualified Rwanda counsel + privacy lead</x:v>
      </x:c>
      <x:c r="I72" s="28" t="str">
        <x:v>Operator and enabled-feature inventory draft</x:v>
      </x:c>
      <x:c r="J72" s="28" t="str">
        <x:v>No completion claimed by these increments. Original audit acceptance criteria remain applicable.</x:v>
      </x:c>
      <x:c r="K72" s="28" t="str">
        <x:v>Not evidenced by these deliveries</x:v>
      </x:c>
      <x:c r="L72" s="28" t="str">
        <x:v>https://drive.google.com/file/d/15X3_uSbHztLL57IL_d3Xo9hc9zInJuyN/view</x:v>
      </x:c>
    </x:row>
    <x:row r="73" ht="116" customHeight="1">
      <x:c r="A73" s="28" t="str">
        <x:v>M067</x:v>
      </x:c>
      <x:c r="B73" s="28" t="str">
        <x:v>P1</x:v>
      </x:c>
      <x:c r="C73" s="28" t="str">
        <x:v>Impact assessment</x:v>
      </x:c>
      <x:c r="D73" s="28" t="str">
        <x:v>Complete a scoped impact/risk assessment for face lookup, location and institutional SMS</x:v>
      </x:c>
      <x:c r="E73" s="28" t="str">
        <x:v>Open; no completion evidence</x:v>
      </x:c>
      <x:c r="F73" s="28" t="str">
        <x:v>No new completion claim in this increment.</x:v>
      </x:c>
      <x:c r="G73" s="28" t="str">
        <x:v>Document actual no-liveness lookup purpose, consent/withdrawal, false-match risk, unknown persons, retention, security and alternatives; approve residual risk before affected feature activation.</x:v>
      </x:c>
      <x:c r="H73" s="28" t="str">
        <x:v>Privacy lead + qualified counsel + security</x:v>
      </x:c>
      <x:c r="I73" s="28" t="str">
        <x:v>M024; M026; M056; M066</x:v>
      </x:c>
      <x:c r="J73" s="28" t="str">
        <x:v>No completion claimed by these increments. Original audit acceptance criteria remain applicable.</x:v>
      </x:c>
      <x:c r="K73" s="28" t="str">
        <x:v>Not evidenced by these deliveries</x:v>
      </x:c>
      <x:c r="L73" s="28" t="str">
        <x:v>https://drive.google.com/file/d/15X3_uSbHztLL57IL_d3Xo9hc9zInJuyN/view</x:v>
      </x:c>
    </x:row>
    <x:row r="74" ht="116" customHeight="1">
      <x:c r="A74" s="28" t="str">
        <x:v>M068</x:v>
      </x:c>
      <x:c r="B74" s="28" t="str">
        <x:v>P1</x:v>
      </x:c>
      <x:c r="C74" s="28" t="str">
        <x:v>Processors and data location</x:v>
      </x:c>
      <x:c r="D74" s="28" t="str">
        <x:v>Verify actual vendor regions, contracts, subprocessors and lawful overseas arrangements</x:v>
      </x:c>
      <x:c r="E74" s="28" t="str">
        <x:v>Open; no completion evidence</x:v>
      </x:c>
      <x:c r="F74" s="28" t="str">
        <x:v>No new completion claim in this increment.</x:v>
      </x:c>
      <x:c r="G74" s="28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H74" s="28" t="str">
        <x:v>Privacy + platform + qualified counsel</x:v>
      </x:c>
      <x:c r="I74" s="28" t="str">
        <x:v>M066</x:v>
      </x:c>
      <x:c r="J74" s="28" t="str">
        <x:v>No completion claimed by these increments. Original audit acceptance criteria remain applicable.</x:v>
      </x:c>
      <x:c r="K74" s="28" t="str">
        <x:v>Not evidenced by these deliveries</x:v>
      </x:c>
      <x:c r="L74" s="28" t="str">
        <x:v>https://drive.google.com/file/d/15X3_uSbHztLL57IL_d3Xo9hc9zInJuyN/view</x:v>
      </x:c>
    </x:row>
    <x:row r="75" ht="116" customHeight="1">
      <x:c r="A75" s="28" t="str">
        <x:v>M069</x:v>
      </x:c>
      <x:c r="B75" s="28" t="str">
        <x:v>P1</x:v>
      </x:c>
      <x:c r="C75" s="28" t="str">
        <x:v>Account deletion</x:v>
      </x:c>
      <x:c r="D75" s="28" t="str">
        <x:v>Implement authenticated deletion initiation, status and cross-store completion</x:v>
      </x:c>
      <x:c r="E75" s="28" t="str">
        <x:v>Open; no completion evidence</x:v>
      </x:c>
      <x:c r="F75" s="28" t="str">
        <x:v>No new completion claim in this increment.</x:v>
      </x:c>
      <x:c r="G75" s="28" t="str">
        <x:v>Synthetic account deletion covers Auth sessions, SQL, Storage, push, vectors and applicable analytics; retries and legal retention exceptions tracked; in-app and web initiation/status work without hidden manual-only steps.</x:v>
      </x:c>
      <x:c r="H75" s="28" t="str">
        <x:v>Backend + Flutter + privacy + support</x:v>
      </x:c>
      <x:c r="I75" s="28" t="str">
        <x:v>M007; M008; M065; M039 if Face enabled</x:v>
      </x:c>
      <x:c r="J75" s="28" t="str">
        <x:v>No completion claimed by these increments. Original audit acceptance criteria remain applicable.</x:v>
      </x:c>
      <x:c r="K75" s="28" t="str">
        <x:v>Not evidenced by these deliveries</x:v>
      </x:c>
      <x:c r="L75" s="28" t="str">
        <x:v>https://drive.google.com/file/d/15X3_uSbHztLL57IL_d3Xo9hc9zInJuyN/view</x:v>
      </x:c>
    </x:row>
    <x:row r="76" ht="116" customHeight="1">
      <x:c r="A76" s="28" t="str">
        <x:v>M070</x:v>
      </x:c>
      <x:c r="B76" s="28" t="str">
        <x:v>P1</x:v>
      </x:c>
      <x:c r="C76" s="28" t="str">
        <x:v>Retention and requests</x:v>
      </x:c>
      <x:c r="D76" s="28" t="str">
        <x:v>Set data-class retention and implement receipt-based request deadlines with verified purge</x:v>
      </x:c>
      <x:c r="E76" s="28" t="str">
        <x:v>Open; no completion evidence</x:v>
      </x:c>
      <x:c r="F76" s="28" t="str">
        <x:v>No new completion claim in this increment.</x:v>
      </x:c>
      <x:c r="G76" s="28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</x:v>
      </x:c>
      <x:c r="H76" s="28" t="str">
        <x:v>Privacy + backend + support</x:v>
      </x:c>
      <x:c r="I76" s="28" t="str">
        <x:v>M065; M069; retention and backup design</x:v>
      </x:c>
      <x:c r="J76" s="28" t="str">
        <x:v>No completion claimed by these increments. Original audit acceptance criteria remain applicable.</x:v>
      </x:c>
      <x:c r="K76" s="28" t="str">
        <x:v>Not evidenced by these deliveries</x:v>
      </x:c>
      <x:c r="L76" s="28" t="str">
        <x:v>https://drive.google.com/file/d/15X3_uSbHztLL57IL_d3Xo9hc9zInJuyN/view</x:v>
      </x:c>
    </x:row>
    <x:row r="77" ht="116" customHeight="1">
      <x:c r="A77" s="28" t="str">
        <x:v>M071</x:v>
      </x:c>
      <x:c r="B77" s="28" t="str">
        <x:v>P1</x:v>
      </x:c>
      <x:c r="C77" s="28" t="str">
        <x:v>Retired AWS resources</x:v>
      </x:c>
      <x:c r="D77" s="28" t="str">
        <x:v>Inventory and obtain scoped authorization to retire old face-only AWS data and credentials</x:v>
      </x:c>
      <x:c r="E77" s="28" t="str">
        <x:v>Open; no completion evidence</x:v>
      </x:c>
      <x:c r="F77" s="28" t="str">
        <x:v>No new completion claim in this increment.</x:v>
      </x:c>
      <x:c r="G77" s="28" t="str">
        <x:v>Read-only account/resource inventory and owner decision; separately authorized named-resource deletion/key retirement receipts; no active AWS fallback and no unrelated shared resource loss.</x:v>
      </x:c>
      <x:c r="H77" s="28" t="str">
        <x:v>Platform + security + privacy</x:v>
      </x:c>
      <x:c r="I77" s="28" t="str">
        <x:v>M001; M065</x:v>
      </x:c>
      <x:c r="J77" s="28" t="str">
        <x:v>No completion claimed by these increments. Original audit acceptance criteria remain applicable.</x:v>
      </x:c>
      <x:c r="K77" s="28" t="str">
        <x:v>Not evidenced by these deliveries</x:v>
      </x:c>
      <x:c r="L77" s="28" t="str">
        <x:v>https://drive.google.com/file/d/15X3_uSbHztLL57IL_d3Xo9hc9zInJuyN/view</x:v>
      </x:c>
    </x:row>
    <x:row r="78" ht="116" customHeight="1">
      <x:c r="A78" s="28" t="str">
        <x:v>M072</x:v>
      </x:c>
      <x:c r="B78" s="28" t="str">
        <x:v>P1</x:v>
      </x:c>
      <x:c r="C78" s="28" t="str">
        <x:v>Age boundaries</x:v>
      </x:c>
      <x:c r="D78" s="28" t="str">
        <x:v>Decide and implement proportionate age rules for passenger, driver and face functions</x:v>
      </x:c>
      <x:c r="E78" s="28" t="str">
        <x:v>Open; no completion evidence</x:v>
      </x:c>
      <x:c r="F78" s="28" t="str">
        <x:v>No new completion claim in this increment.</x:v>
      </x:c>
      <x:c r="G78" s="28" t="str">
        <x:v>Consistent per-role policy and proportionate declaration/restriction; underage reports and applicable guardian handling documented; no unnecessary identity-document collection introduced.</x:v>
      </x:c>
      <x:c r="H78" s="28" t="str">
        <x:v>Product + privacy + qualified counsel</x:v>
      </x:c>
      <x:c r="I78" s="28" t="str">
        <x:v>M065; M067</x:v>
      </x:c>
      <x:c r="J78" s="28" t="str">
        <x:v>No completion claimed by these increments. Original audit acceptance criteria remain applicable.</x:v>
      </x:c>
      <x:c r="K78" s="28" t="str">
        <x:v>Not evidenced by these deliveries</x:v>
      </x:c>
      <x:c r="L78" s="28" t="str">
        <x:v>https://drive.google.com/file/d/15X3_uSbHztLL57IL_d3Xo9hc9zInJuyN/view</x:v>
      </x:c>
    </x:row>
    <x:row r="79" ht="116" customHeight="1">
      <x:c r="A79" s="28" t="str">
        <x:v>M073</x:v>
      </x:c>
      <x:c r="B79" s="28" t="str">
        <x:v>P1</x:v>
      </x:c>
      <x:c r="C79" s="28" t="str">
        <x:v>WhatsApp operating contract</x:v>
      </x:c>
      <x:c r="D79" s="28" t="str">
        <x:v>Verify live authentication templates/delivery and separate marketing permissions</x:v>
      </x:c>
      <x:c r="E79" s="28" t="str">
        <x:v>Open; no completion evidence</x:v>
      </x:c>
      <x:c r="F79" s="28" t="str">
        <x:v>No new completion claim in this increment.</x:v>
      </x:c>
      <x:c r="G79" s="28" t="str">
        <x:v>Approved WABA/number/template/category/language/components and supported Graph version recorded; real device delivery/resend/expired-code/outage recovery tested; campaign opt-out suppresses future promotional sends.</x:v>
      </x:c>
      <x:c r="H79" s="28" t="str">
        <x:v>Messaging operations + backend + privacy</x:v>
      </x:c>
      <x:c r="I79" s="28" t="str">
        <x:v>M012; M068; M091</x:v>
      </x:c>
      <x:c r="J79" s="28" t="str">
        <x:v>No completion claimed by these increments. Original audit acceptance criteria remain applicable.</x:v>
      </x:c>
      <x:c r="K79" s="28" t="str">
        <x:v>Not evidenced by these deliveries</x:v>
      </x:c>
      <x:c r="L79" s="28" t="str">
        <x:v>https://drive.google.com/file/d/15X3_uSbHztLL57IL_d3Xo9hc9zInJuyN/view</x:v>
      </x:c>
    </x:row>
    <x:row r="80" ht="116" customHeight="1">
      <x:c r="A80" s="28" t="str">
        <x:v>M074</x:v>
      </x:c>
      <x:c r="B80" s="28" t="str">
        <x:v>P1</x:v>
      </x:c>
      <x:c r="C80" s="28" t="str">
        <x:v>CI correctness</x:v>
      </x:c>
      <x:c r="D80" s="28" t="str">
        <x:v>Repair Actions pin validation to permit local reusable workflows and reject unpinned remote actions</x:v>
      </x:c>
      <x:c r="E80" s="28" t="str">
        <x:v>Earlier source work; acceptance open</x:v>
      </x:c>
      <x:c r="F80" s="28" t="str">
        <x:v>No new completion claim in this increment.</x:v>
      </x:c>
      <x:c r="G80" s="28" t="str">
        <x:v>Actual source pin gate exits zero; valid local fixture passes and tagged/unpinned remote fixtures fail; parser distinguishes reusable workflow and remote action syntax.</x:v>
      </x:c>
      <x:c r="H80" s="28" t="str">
        <x:v>DevOps</x:v>
      </x:c>
      <x:c r="I80" s="28" t="str">
        <x:v>None</x:v>
      </x:c>
      <x:c r="J80" s="28" t="str">
        <x:v>Actions pin checker repaired and 29 source/fixture tests plus repo check pass; remote CI run pending.</x:v>
      </x:c>
      <x:c r="K80" s="28" t="str">
        <x:v>Not evidenced by these deliveries</x:v>
      </x:c>
      <x:c r="L80" s="28" t="str">
        <x:v>https://drive.google.com/file/d/15X3_uSbHztLL57IL_d3Xo9hc9zInJuyN/view</x:v>
      </x:c>
    </x:row>
    <x:row r="81" ht="116" customHeight="1">
      <x:c r="A81" s="28" t="str">
        <x:v>M075</x:v>
      </x:c>
      <x:c r="B81" s="28" t="str">
        <x:v>P1</x:v>
      </x:c>
      <x:c r="C81" s="28" t="str">
        <x:v>Release gate truth</x:v>
      </x:c>
      <x:c r="D81" s="28" t="str">
        <x:v>Make skipped/unavailable required checks non-releasable and wire aggregate gates into promotion</x:v>
      </x:c>
      <x:c r="E81" s="28" t="str">
        <x:v>Earlier source work; acceptance open</x:v>
      </x:c>
      <x:c r="F81" s="28" t="str">
        <x:v>No new completion claim in this increment.</x:v>
      </x:c>
      <x:c r="G81" s="28" t="str">
        <x:v>Production invocation rejects disabling mandatory child checks; pass/failed/skipped/unavailable have distinct status; Android/PWA/services promotion requires all applicable gates for one exact artifact.</x:v>
      </x:c>
      <x:c r="H81" s="28" t="str">
        <x:v>Release engineer + DevOps</x:v>
      </x:c>
      <x:c r="I81" s="28" t="str">
        <x:v>M074</x:v>
      </x:c>
      <x:c r="J81" s="28" t="str">
        <x:v>Integrated gate rejects disabled/invalid required checks; fixture tests pass; promotion workflow execution pending.</x:v>
      </x:c>
      <x:c r="K81" s="28" t="str">
        <x:v>Not evidenced by these deliveries</x:v>
      </x:c>
      <x:c r="L81" s="28" t="str">
        <x:v>https://drive.google.com/file/d/15X3_uSbHztLL57IL_d3Xo9hc9zInJuyN/view</x:v>
      </x:c>
    </x:row>
    <x:row r="82" ht="116" customHeight="1">
      <x:c r="A82" s="28" t="str">
        <x:v>M076</x:v>
      </x:c>
      <x:c r="B82" s="28" t="str">
        <x:v>P1</x:v>
      </x:c>
      <x:c r="C82" s="28" t="str">
        <x:v>Visual acceptance</x:v>
      </x:c>
      <x:c r="D82" s="28" t="str">
        <x:v>Resolve unaccepted reference goldens against the approved design and rerun the full Flutter suite</x:v>
      </x:c>
      <x:c r="E82" s="28" t="str">
        <x:v>Open; no completion evidence</x:v>
      </x:c>
      <x:c r="F82" s="28" t="str">
        <x:v>No new completion claim in this increment.</x:v>
      </x:c>
      <x:c r="G82" s="28" t="str">
        <x:v>Each difference classified as intended or regression; only reviewed baselines change; complete suite including reference goldens passes on pinned toolchain with revision-linked results.</x:v>
      </x:c>
      <x:c r="H82" s="28" t="str">
        <x:v>QA + design + Flutter</x:v>
      </x:c>
      <x:c r="I82" s="28" t="str">
        <x:v>M074</x:v>
      </x:c>
      <x:c r="J82" s="28" t="str">
        <x:v>No completion claimed by these increments. Original audit acceptance criteria remain applicable.</x:v>
      </x:c>
      <x:c r="K82" s="28" t="str">
        <x:v>Not evidenced by these deliveries</x:v>
      </x:c>
      <x:c r="L82" s="28" t="str">
        <x:v>https://drive.google.com/file/d/15X3_uSbHztLL57IL_d3Xo9hc9zInJuyN/view</x:v>
      </x:c>
    </x:row>
    <x:row r="83" ht="116" customHeight="1">
      <x:c r="A83" s="28" t="str">
        <x:v>M077</x:v>
      </x:c>
      <x:c r="B83" s="28" t="str">
        <x:v>P1</x:v>
      </x:c>
      <x:c r="C83" s="28" t="str">
        <x:v>Coverage in CI</x:v>
      </x:c>
      <x:c r="D83" s="28" t="str">
        <x:v>Add required checks for every shipped implementation and native collector</x:v>
      </x:c>
      <x:c r="E83" s="28" t="str">
        <x:v>Updated in Increment04</x:v>
      </x:c>
      <x:c r="F83" s="28" t="str">
        <x:v>New 86 Node tests and 28 Python operational/applier/source checks are wired into the existing CI workflow. Hosted CI not run.</x:v>
      </x:c>
      <x:c r="G83" s="28" t="str">
        <x:v>Run hosted required checks plus full native/database/Deno lanes; configure protected-branch requirements.</x:v>
      </x:c>
      <x:c r="H83" s="28" t="str">
        <x:v>DevOps + subsystem owners</x:v>
      </x:c>
      <x:c r="I83" s="28" t="str">
        <x:v>M074; M075</x:v>
      </x:c>
      <x:c r="J83" s="28" t="str">
        <x:v>Native collector QA compilation/JUnit/package-isolation job and portable SQLite/JVM checks added to CI. Local portable tests pass; hosted CI and Android build have not run.</x:v>
      </x:c>
      <x:c r="K83" s="28" t="str">
        <x:v>Not evidenced by these deliveries</x:v>
      </x:c>
      <x:c r="L83" s="28" t="str">
        <x:v>https://drive.google.com/file/d/15X3_uSbHztLL57IL_d3Xo9hc9zInJuyN/view</x:v>
      </x:c>
    </x:row>
    <x:row r="84" ht="116" customHeight="1">
      <x:c r="A84" s="28" t="str">
        <x:v>M078</x:v>
      </x:c>
      <x:c r="B84" s="28" t="str">
        <x:v>P1</x:v>
      </x:c>
      <x:c r="C84" s="28" t="str">
        <x:v>Database rehearsal</x:v>
      </x:c>
      <x:c r="D84" s="28" t="str">
        <x:v>Run all migrations on clean PostgreSQL 17 and a representative forward-upgrade copy</x:v>
      </x:c>
      <x:c r="E84" s="28" t="str">
        <x:v>Updated in Increment04</x:v>
      </x:c>
      <x:c r="F84" s="28" t="str">
        <x:v>Seventh forward SQL body, manifest, post-install assertions and guarded PostgreSQL17 component/concurrency runner supplied; runtime unavailable.</x:v>
      </x:c>
      <x:c r="G84" s="28" t="str">
        <x:v>Rehearse full original schema plus bodies01-07 and sanitized forward upgrade on PostgreSQL17.</x:v>
      </x:c>
      <x:c r="H84" s="28" t="str">
        <x:v>DBA + backend QA</x:v>
      </x:c>
      <x:c r="I84" s="28" t="str">
        <x:v>M003; M015; M017; M018; M019</x:v>
      </x:c>
      <x:c r="J84" s="28" t="str">
        <x:v>Ordered migration preparer, manifest and post-install assertions implemented; PostgreSQL/Supabase rehearsal pending.</x:v>
      </x:c>
      <x:c r="K84" s="28" t="str">
        <x:v>Not evidenced by these deliveries</x:v>
      </x:c>
      <x:c r="L84" s="28" t="str">
        <x:v>https://drive.google.com/file/d/15X3_uSbHztLL57IL_d3Xo9hc9zInJuyN/view</x:v>
      </x:c>
    </x:row>
    <x:row r="85" ht="116" customHeight="1">
      <x:c r="A85" s="28" t="str">
        <x:v>M079</x:v>
      </x:c>
      <x:c r="B85" s="28" t="str">
        <x:v>P1</x:v>
      </x:c>
      <x:c r="C85" s="28" t="str">
        <x:v>Adversarial authorization</x:v>
      </x:c>
      <x:c r="D85" s="28" t="str">
        <x:v>Run a real database/Edge authorization and transaction matrix after remediation</x:v>
      </x:c>
      <x:c r="E85" s="28" t="str">
        <x:v>Updated in Increment04</x:v>
      </x:c>
      <x:c r="F85" s="28" t="str">
        <x:v>Service-only queue grants and catalog probes added to the existing authorization work. No real user-role matrix executed.</x:v>
      </x:c>
      <x:c r="G85" s="28" t="str">
        <x:v>Execute the complete real Auth/PostgREST ownership, revocation, role and privilege matrix.</x:v>
      </x:c>
      <x:c r="H85" s="28" t="str">
        <x:v>Security QA + backend</x:v>
      </x:c>
      <x:c r="I85" s="28" t="str">
        <x:v>M003; M004; M015; M016; M078</x:v>
      </x:c>
      <x:c r="J85" s="28" t="str">
        <x:v>Adversarial fixtures added, but live database/Auth/PostgREST authorization matrix pending.</x:v>
      </x:c>
      <x:c r="K85" s="28" t="str">
        <x:v>Not evidenced by these deliveries</x:v>
      </x:c>
      <x:c r="L85" s="28" t="str">
        <x:v>https://drive.google.com/file/d/15X3_uSbHztLL57IL_d3Xo9hc9zInJuyN/view</x:v>
      </x:c>
    </x:row>
    <x:row r="86" ht="116" customHeight="1">
      <x:c r="A86" s="28" t="str">
        <x:v>M080</x:v>
      </x:c>
      <x:c r="B86" s="28" t="str">
        <x:v>P1</x:v>
      </x:c>
      <x:c r="C86" s="28" t="str">
        <x:v>Production controls</x:v>
      </x:c>
      <x:c r="D86" s="28" t="str">
        <x:v>Read back actual repository/environment protections, secrets and promotion roles</x:v>
      </x:c>
      <x:c r="E86" s="28" t="str">
        <x:v>Open; no completion evidence</x:v>
      </x:c>
      <x:c r="F86" s="28" t="str">
        <x:v>No new completion claim in this increment.</x:v>
      </x:c>
      <x:c r="G86" s="28" t="str">
        <x:v>Current branch/environment rules, required checks, reviewer separation and secret scope recorded for actual repository/account plan; least-privilege deployment roles and emergency path tested without publishing.</x:v>
      </x:c>
      <x:c r="H86" s="28" t="str">
        <x:v>Security + release owner</x:v>
      </x:c>
      <x:c r="I86" s="28" t="str">
        <x:v>M001; M002; M075</x:v>
      </x:c>
      <x:c r="J86" s="28" t="str">
        <x:v>No completion claimed by these increments. Original audit acceptance criteria remain applicable.</x:v>
      </x:c>
      <x:c r="K86" s="28" t="str">
        <x:v>Not evidenced by these deliveries</x:v>
      </x:c>
      <x:c r="L86" s="28" t="str">
        <x:v>https://drive.google.com/file/d/15X3_uSbHztLL57IL_d3Xo9hc9zInJuyN/view</x:v>
      </x:c>
    </x:row>
    <x:row r="87" ht="116" customHeight="1">
      <x:c r="A87" s="28" t="str">
        <x:v>M081</x:v>
      </x:c>
      <x:c r="B87" s="28" t="str">
        <x:v>P1</x:v>
      </x:c>
      <x:c r="C87" s="28" t="str">
        <x:v>Release evidence</x:v>
      </x:c>
      <x:c r="D87" s="28" t="str">
        <x:v>Bind source, artifacts, migrations, model policy and approvals in a structured release manifest</x:v>
      </x:c>
      <x:c r="E87" s="28" t="str">
        <x:v>Earlier source work; acceptance open</x:v>
      </x:c>
      <x:c r="F87" s="28" t="str">
        <x:v>No new completion claim in this increment.</x:v>
      </x:c>
      <x:c r="G87" s="28" t="str">
        <x:v>Exact commit plus working-tree state, artifact hashes, version equality, migration/model identifiers, environment, reviewer/date and full check receipts validated; stale/example/wrong-artifact/prefix fixtures rejected.</x:v>
      </x:c>
      <x:c r="H87" s="28" t="str">
        <x:v>Release engineer</x:v>
      </x:c>
      <x:c r="I87" s="28" t="str">
        <x:v>M075; M078; M080</x:v>
      </x:c>
      <x:c r="J87" s="28" t="str">
        <x:v>Exact version-evidence parser and checks strengthened; complete artifact-bound release manifest still pending.</x:v>
      </x:c>
      <x:c r="K87" s="28" t="str">
        <x:v>Not evidenced by these deliveries</x:v>
      </x:c>
      <x:c r="L87" s="28" t="str">
        <x:v>https://drive.google.com/file/d/15X3_uSbHztLL57IL_d3Xo9hc9zInJuyN/view</x:v>
      </x:c>
    </x:row>
    <x:row r="88" ht="116" customHeight="1">
      <x:c r="A88" s="28" t="str">
        <x:v>M082</x:v>
      </x:c>
      <x:c r="B88" s="28" t="str">
        <x:v>P2</x:v>
      </x:c>
      <x:c r="C88" s="28" t="str">
        <x:v>Dependency security</x:v>
      </x:c>
      <x:c r="D88" s="28" t="str">
        <x:v>Pin reproducible toolchains and cover all dependency/container ecosystems with update and advisory review</x:v>
      </x:c>
      <x:c r="E88" s="28" t="str">
        <x:v>Earlier source work; acceptance open</x:v>
      </x:c>
      <x:c r="F88" s="28" t="str">
        <x:v>No new completion claim in this increment.</x:v>
      </x:c>
      <x:c r="G88" s="28" t="str">
        <x:v>Deno/Node/pnpm/Wrangler/container toolchain fixed to tested versions; update coverage and actual advisory triage documented; clean builds reproduce; upgrades are risk-reviewed rather than indiscriminate.</x:v>
      </x:c>
      <x:c r="H88" s="28" t="str">
        <x:v>DevSecOps + maintainers</x:v>
      </x:c>
      <x:c r="I88" s="28" t="str">
        <x:v>M077</x:v>
      </x:c>
      <x:c r="J88" s="28" t="str">
        <x:v>Additional dependency/toolchain pinning and update coverage added; complete advisory/SBOM review pending.</x:v>
      </x:c>
      <x:c r="K88" s="28" t="str">
        <x:v>Not evidenced by these deliveries</x:v>
      </x:c>
      <x:c r="L88" s="28" t="str">
        <x:v>https://drive.google.com/file/d/15X3_uSbHztLL57IL_d3Xo9hc9zInJuyN/view</x:v>
      </x:c>
    </x:row>
    <x:row r="89" ht="116" customHeight="1">
      <x:c r="A89" s="28" t="str">
        <x:v>M083</x:v>
      </x:c>
      <x:c r="B89" s="28" t="str">
        <x:v>P2</x:v>
      </x:c>
      <x:c r="C89" s="28" t="str">
        <x:v>Supply-chain records</x:v>
      </x:c>
      <x:c r="D89" s="28" t="str">
        <x:v>Produce verified SBOM/provenance and retain licences, symbols and source maps for supported releases</x:v>
      </x:c>
      <x:c r="E89" s="28" t="str">
        <x:v>Open; no completion evidence</x:v>
      </x:c>
      <x:c r="F89" s="28" t="str">
        <x:v>No new completion claim in this increment.</x:v>
      </x:c>
      <x:c r="G89" s="28" t="str">
        <x:v>Distributed artifact SBOM and provenance verify against release hashes; model/SDK licences archived; symbol/source-map access and crash symbolication tested for supported versions.</x:v>
      </x:c>
      <x:c r="H89" s="28" t="str">
        <x:v>DevSecOps + release</x:v>
      </x:c>
      <x:c r="I89" s="28" t="str">
        <x:v>M081; M082</x:v>
      </x:c>
      <x:c r="J89" s="28" t="str">
        <x:v>No completion claimed by these increments. Original audit acceptance criteria remain applicable.</x:v>
      </x:c>
      <x:c r="K89" s="28" t="str">
        <x:v>Not evidenced by these deliveries</x:v>
      </x:c>
      <x:c r="L89" s="28" t="str">
        <x:v>https://drive.google.com/file/d/15X3_uSbHztLL57IL_d3Xo9hc9zInJuyN/view</x:v>
      </x:c>
    </x:row>
    <x:row r="90" ht="116" customHeight="1">
      <x:c r="A90" s="28" t="str">
        <x:v>M084</x:v>
      </x:c>
      <x:c r="B90" s="28" t="str">
        <x:v>P1</x:v>
      </x:c>
      <x:c r="C90" s="28" t="str">
        <x:v>Observability</x:v>
      </x:c>
      <x:c r="D90" s="28" t="str">
        <x:v>Instrument privacy-safe service and client health with owned actionable alerts</x:v>
      </x:c>
      <x:c r="E90" s="28" t="str">
        <x:v>Open; no completion evidence</x:v>
      </x:c>
      <x:c r="F90" s="28" t="str">
        <x:v>No new completion claim in this increment.</x:v>
      </x:c>
      <x:c r="G90" s="28" t="str">
        <x:v>Dashboards cover auth, latency/errors, face busy/cleanup, receipt-to-credit, notification backlog, crashes/ANRs and stale presence; named owners/budgets; induced failure alerts correctly with no raw faces, vectors, OTPs or financial identifiers.</x:v>
      </x:c>
      <x:c r="H90" s="28" t="str">
        <x:v>SRE + backend + mobile</x:v>
      </x:c>
      <x:c r="I90" s="28" t="str">
        <x:v>M032; M034; M037; M056</x:v>
      </x:c>
      <x:c r="J90" s="28" t="str">
        <x:v>No completion claimed by these increments. Original audit acceptance criteria remain applicable.</x:v>
      </x:c>
      <x:c r="K90" s="28" t="str">
        <x:v>Not evidenced by these deliveries</x:v>
      </x:c>
      <x:c r="L90" s="28" t="str">
        <x:v>https://drive.google.com/file/d/15X3_uSbHztLL57IL_d3Xo9hc9zInJuyN/view</x:v>
      </x:c>
    </x:row>
    <x:row r="91" ht="116" customHeight="1">
      <x:c r="A91" s="28" t="str">
        <x:v>M085</x:v>
      </x:c>
      <x:c r="B91" s="28" t="str">
        <x:v>P1</x:v>
      </x:c>
      <x:c r="C91" s="28" t="str">
        <x:v>Recovery</x:v>
      </x:c>
      <x:c r="D91" s="28" t="str">
        <x:v>Define RPO/RTO and rehearse isolated database, Storage, configuration and vector recovery</x:v>
      </x:c>
      <x:c r="E91" s="28" t="str">
        <x:v>Open; no completion evidence</x:v>
      </x:c>
      <x:c r="F91" s="28" t="str">
        <x:v>No new completion claim in this increment.</x:v>
      </x:c>
      <x:c r="G91" s="28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H91" s="28" t="str">
        <x:v>DBA + SRE + privacy</x:v>
      </x:c>
      <x:c r="I91" s="28" t="str">
        <x:v>M065; M070; M078</x:v>
      </x:c>
      <x:c r="J91" s="28" t="str">
        <x:v>No completion claimed by these increments. Original audit acceptance criteria remain applicable.</x:v>
      </x:c>
      <x:c r="K91" s="28" t="str">
        <x:v>Not evidenced by these deliveries</x:v>
      </x:c>
      <x:c r="L91" s="28" t="str">
        <x:v>https://drive.google.com/file/d/15X3_uSbHztLL57IL_d3Xo9hc9zInJuyN/view</x:v>
      </x:c>
    </x:row>
    <x:row r="92" ht="116" customHeight="1">
      <x:c r="A92" s="28" t="str">
        <x:v>M086</x:v>
      </x:c>
      <x:c r="B92" s="28" t="str">
        <x:v>P1</x:v>
      </x:c>
      <x:c r="C92" s="28" t="str">
        <x:v>Incident response</x:v>
      </x:c>
      <x:c r="D92" s="28" t="str">
        <x:v>Rehearse security/privacy/financial incident ownership and escalation</x:v>
      </x:c>
      <x:c r="E92" s="28" t="str">
        <x:v>Open; no completion evidence</x:v>
      </x:c>
      <x:c r="F92" s="28" t="str">
        <x:v>No new completion claim in this increment.</x:v>
      </x:c>
      <x:c r="G92" s="28" t="str">
        <x:v>Tabletop covers key exposure, wrong credit, lost collector and biometric/PII event; evidence preservation, containment and contacts tested; applicable Rwanda 48-hour notice/72-hour report clocks reviewed by counsel.</x:v>
      </x:c>
      <x:c r="H92" s="28" t="str">
        <x:v>Security + privacy + SRE + payments</x:v>
      </x:c>
      <x:c r="I92" s="28" t="str">
        <x:v>M001; M023; M066; M084</x:v>
      </x:c>
      <x:c r="J92" s="28" t="str">
        <x:v>No completion claimed by these increments. Original audit acceptance criteria remain applicable.</x:v>
      </x:c>
      <x:c r="K92" s="28" t="str">
        <x:v>Not evidenced by these deliveries</x:v>
      </x:c>
      <x:c r="L92" s="28" t="str">
        <x:v>https://drive.google.com/file/d/15X3_uSbHztLL57IL_d3Xo9hc9zInJuyN/view</x:v>
      </x:c>
    </x:row>
    <x:row r="93" ht="116" customHeight="1">
      <x:c r="A93" s="28" t="str">
        <x:v>M087</x:v>
      </x:c>
      <x:c r="B93" s="28" t="str">
        <x:v>P1</x:v>
      </x:c>
      <x:c r="C93" s="28" t="str">
        <x:v>Rollout and rollback</x:v>
      </x:c>
      <x:c r="D93" s="28" t="str">
        <x:v>Exercise staged release, kill switches and compatible rollback for each enabled surface</x:v>
      </x:c>
      <x:c r="E93" s="28" t="str">
        <x:v>Open; no completion evidence</x:v>
      </x:c>
      <x:c r="F93" s="28" t="str">
        <x:v>No new completion claim in this increment.</x:v>
      </x:c>
      <x:c r="G93" s="28" t="str">
        <x:v>Internal/staged promotion uses defined stop criteria; last-known-good artifacts/configs identified; schema compatibility or forward repair tested; face can be disabled while accepted manual/QR flows continue.</x:v>
      </x:c>
      <x:c r="H93" s="28" t="str">
        <x:v>Release + SRE + product</x:v>
      </x:c>
      <x:c r="I93" s="28" t="str">
        <x:v>M062; M081; M084; M085</x:v>
      </x:c>
      <x:c r="J93" s="28" t="str">
        <x:v>No completion claimed by these increments. Original audit acceptance criteria remain applicable.</x:v>
      </x:c>
      <x:c r="K93" s="28" t="str">
        <x:v>Not evidenced by these deliveries</x:v>
      </x:c>
      <x:c r="L93" s="28" t="str">
        <x:v>https://drive.google.com/file/d/15X3_uSbHztLL57IL_d3Xo9hc9zInJuyN/view</x:v>
      </x:c>
    </x:row>
    <x:row r="94" ht="116" customHeight="1">
      <x:c r="A94" s="28" t="str">
        <x:v>M088</x:v>
      </x:c>
      <x:c r="B94" s="28" t="str">
        <x:v>P1</x:v>
      </x:c>
      <x:c r="C94" s="28" t="str">
        <x:v>Launch acceptance</x:v>
      </x:c>
      <x:c r="D94" s="28" t="str">
        <x:v>Run a version-bound end-to-end matrix on staging and release-candidate devices</x:v>
      </x:c>
      <x:c r="E94" s="28" t="str">
        <x:v>Open; no completion evidence</x:v>
      </x:c>
      <x:c r="F94" s="28" t="str">
        <x:v>No new completion claim in this increment.</x:v>
      </x:c>
      <x:c r="G94" s="28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H94" s="28" t="str">
        <x:v>QA lead + release + feature owners</x:v>
      </x:c>
      <x:c r="I94" s="28" t="str">
        <x:v>M044; M046; M049; M052; M060; M073; M079; M081; M040 if Face enabled</x:v>
      </x:c>
      <x:c r="J94" s="28" t="str">
        <x:v>No completion claimed by these increments. Original audit acceptance criteria remain applicable.</x:v>
      </x:c>
      <x:c r="K94" s="28" t="str">
        <x:v>Not evidenced by these deliveries</x:v>
      </x:c>
      <x:c r="L94" s="28" t="str">
        <x:v>https://drive.google.com/file/d/15X3_uSbHztLL57IL_d3Xo9hc9zInJuyN/view</x:v>
      </x:c>
    </x:row>
    <x:row r="95" ht="116" customHeight="1">
      <x:c r="A95" s="28" t="str">
        <x:v>M089</x:v>
      </x:c>
      <x:c r="B95" s="28" t="str">
        <x:v>P1</x:v>
      </x:c>
      <x:c r="C95" s="28" t="str">
        <x:v>Support and moderation</x:v>
      </x:c>
      <x:c r="D95" s="28" t="str">
        <x:v>Operationalize existing report/block controls, account recovery and financial exception handling</x:v>
      </x:c>
      <x:c r="E95" s="28" t="str">
        <x:v>Open; no completion evidence</x:v>
      </x:c>
      <x:c r="F95" s="28" t="str">
        <x:v>No new completion claim in this increment.</x:v>
      </x:c>
      <x:c r="G95" s="28" t="str">
        <x:v>Named queues/response targets and escalation paths; staged report/block/unblock, lost WhatsApp access, deletion and disputed receipt drills close with an audit trail; no PIN collection or improvised auth bypass.</x:v>
      </x:c>
      <x:c r="H95" s="28" t="str">
        <x:v>Support operations + product + trust/safety</x:v>
      </x:c>
      <x:c r="I95" s="28" t="str">
        <x:v>M009; M023; M069; M073; M084</x:v>
      </x:c>
      <x:c r="J95" s="28" t="str">
        <x:v>No completion claimed by these increments. Original audit acceptance criteria remain applicable.</x:v>
      </x:c>
      <x:c r="K95" s="28" t="str">
        <x:v>Not evidenced by these deliveries</x:v>
      </x:c>
      <x:c r="L95" s="28" t="str">
        <x:v>https://drive.google.com/file/d/15X3_uSbHztLL57IL_d3Xo9hc9zInJuyN/view</x:v>
      </x:c>
    </x:row>
    <x:row r="96" ht="116" customHeight="1">
      <x:c r="A96" s="28" t="str">
        <x:v>M090</x:v>
      </x:c>
      <x:c r="B96" s="28" t="str">
        <x:v>P2</x:v>
      </x:c>
      <x:c r="C96" s="28" t="str">
        <x:v>Source and scope documentation</x:v>
      </x:c>
      <x:c r="D96" s="28" t="str">
        <x:v>Publish a clean reproducible source manifest and one current feature/release status map</x:v>
      </x:c>
      <x:c r="E96" s="28" t="str">
        <x:v>Updated in Increment04</x:v>
      </x:c>
      <x:c r="F96" s="28" t="str">
        <x:v>New delta/cumulative overlays, before/after hashes, guarded applier, source provenance and evidence logs packaged.</x:v>
      </x:c>
      <x:c r="G96" s="28" t="str">
        <x:v>Reconcile with the actual upstream checkout/commit; remove historical secrets and review export permissions.</x:v>
      </x:c>
      <x:c r="H96" s="28" t="str">
        <x:v>Repository maintainer + product + release</x:v>
      </x:c>
      <x:c r="I96" s="28" t="str">
        <x:v>M001; M081</x:v>
      </x:c>
      <x:c r="J96" s="28" t="str">
        <x:v>Versioned hardening manifest/evidence package produced; canonical repository/source-scope cleanup remains.</x:v>
      </x:c>
      <x:c r="K96" s="28" t="str">
        <x:v>Not evidenced by these deliveries</x:v>
      </x:c>
      <x:c r="L96" s="28" t="str">
        <x:v>https://drive.google.com/file/d/15X3_uSbHztLL57IL_d3Xo9hc9zInJuyN/view</x:v>
      </x:c>
    </x:row>
    <x:row r="97" ht="116" customHeight="1">
      <x:c r="A97" s="28" t="str">
        <x:v>M091</x:v>
      </x:c>
      <x:c r="B97" s="28" t="str">
        <x:v>P1</x:v>
      </x:c>
      <x:c r="C97" s="28" t="str">
        <x:v>Provider resilience and budgets</x:v>
      </x:c>
      <x:c r="D97" s="28" t="str">
        <x:v>Bound external calls and enforce durable rate/cost controls for OTP, maps and AI paths</x:v>
      </x:c>
      <x:c r="E97" s="28" t="str">
        <x:v>Updated in Increment04</x:v>
      </x:c>
      <x:c r="F97" s="28" t="str">
        <x:v>Bounded batch/queue capacity, worker concurrency and fixed-hour parser budget implemented in the SQL candidate; bounded trigger supplied.</x:v>
      </x:c>
      <x:c r="G97" s="28" t="str">
        <x:v>Measure latency, database contention, receipt volume and provider costs; validate limits and overload recovery.</x:v>
      </x:c>
      <x:c r="H97" s="28" t="str">
        <x:v>Backend + SRE + security</x:v>
      </x:c>
      <x:c r="I97" s="28" t="str">
        <x:v>M012; M032</x:v>
      </x:c>
      <x:c r="J97" s="28" t="str">
        <x:v>Unapproved sender, missing merchant policy and disabled allocation stop AI parsing before provider disclosure. Retry/response/connect/read bounds added; overall wall-clock deadline and full durable provider budget work remain open.</x:v>
      </x:c>
      <x:c r="K97" s="28" t="str">
        <x:v>Not evidenced by these deliveries</x:v>
      </x:c>
      <x:c r="L97" s="28" t="str">
        <x:v>https://drive.google.com/file/d/15X3_uSbHztLL57IL_d3Xo9hc9zInJuyN/view</x:v>
      </x:c>
    </x:row>
    <x:row r="98" ht="116" customHeight="1">
      <x:c r="A98" s="28" t="str">
        <x:v>M092</x:v>
      </x:c>
      <x:c r="B98" s="28" t="str">
        <x:v>P2</x:v>
      </x:c>
      <x:c r="C98" s="28" t="str">
        <x:v>Notification delivery</x:v>
      </x:c>
      <x:c r="D98" s="28" t="str">
        <x:v>Use a durable notification outbox with leases, bounded retry and token lifecycle</x:v>
      </x:c>
      <x:c r="E98" s="28" t="str">
        <x:v>Open; no completion evidence</x:v>
      </x:c>
      <x:c r="F98" s="28" t="str">
        <x:v>No new completion claim in this increment.</x:v>
      </x:c>
      <x:c r="G98" s="28" t="str">
        <x:v>Notification/token idempotency, lease recovery, TTL, consent, backoff and invalid-token removal work under duplicate dispatch/provider outage; backlog age is visible; no unbounded OAuth/send loop.</x:v>
      </x:c>
      <x:c r="H98" s="28" t="str">
        <x:v>Backend + SRE</x:v>
      </x:c>
      <x:c r="I98" s="28" t="str">
        <x:v>M008; M084</x:v>
      </x:c>
      <x:c r="J98" s="28" t="str">
        <x:v>No completion claimed by these increments. Original audit acceptance criteria remain applicable.</x:v>
      </x:c>
      <x:c r="K98" s="28" t="str">
        <x:v>Not evidenced by these deliveries</x:v>
      </x:c>
      <x:c r="L98" s="28" t="str">
        <x:v>https://drive.google.com/file/d/15X3_uSbHztLL57IL_d3Xo9hc9zInJuyN/view</x:v>
      </x:c>
    </x:row>
    <x:row r="99" ht="116" customHeight="1">
      <x:c r="A99" s="28" t="str">
        <x:v>M093</x:v>
      </x:c>
      <x:c r="B99" s="28" t="str">
        <x:v>P2</x:v>
      </x:c>
      <x:c r="C99" s="28" t="str">
        <x:v>Database performance</x:v>
      </x:c>
      <x:c r="D99" s="28" t="str">
        <x:v>Load-test bounded discovery, realtime, chat history and financial queries at launch/next-stage volume</x:v>
      </x:c>
      <x:c r="E99" s="28" t="str">
        <x:v>Open; no completion evidence</x:v>
      </x:c>
      <x:c r="F99" s="28" t="str">
        <x:v>No new completion claim in this increment.</x:v>
      </x:c>
      <x:c r="G99" s="28" t="str">
        <x:v>Representative cardinalities and concurrency with EXPLAIN/query statistics meet chosen latency budget; indexes/caps/pagination based on measured plans; retention does not break reconciliation or deletion.</x:v>
      </x:c>
      <x:c r="H99" s="28" t="str">
        <x:v>DBA + performance + backend</x:v>
      </x:c>
      <x:c r="I99" s="28" t="str">
        <x:v>M056; M078; M084</x:v>
      </x:c>
      <x:c r="J99" s="28" t="str">
        <x:v>No completion claimed by these increments. Original audit acceptance criteria remain applicable.</x:v>
      </x:c>
      <x:c r="K99" s="28" t="str">
        <x:v>Not evidenced by these deliveries</x:v>
      </x:c>
      <x:c r="L99" s="28" t="str">
        <x:v>https://drive.google.com/file/d/15X3_uSbHztLL57IL_d3Xo9hc9zInJuyN/view</x:v>
      </x:c>
    </x:row>
    <x:row r="100" ht="116" customHeight="1">
      <x:c r="A100" s="28" t="str">
        <x:v>M094</x:v>
      </x:c>
      <x:c r="B100" s="28" t="str">
        <x:v>P2</x:v>
      </x:c>
      <x:c r="C100" s="28" t="str">
        <x:v>Operating economics</x:v>
      </x:c>
      <x:c r="D100" s="28" t="str">
        <x:v>Build an observed launch cost model and usage budget with explicit assumptions</x:v>
      </x:c>
      <x:c r="E100" s="28" t="str">
        <x:v>Open; no completion evidence</x:v>
      </x:c>
      <x:c r="F100" s="28" t="str">
        <x:v>No new completion claim in this increment.</x:v>
      </x:c>
      <x:c r="G100" s="28" t="str">
        <x:v>Current account tariffs and observed requests per successful journey drive low/base/peak forecast; budget alerts and owner-approved service caps tested; no invented Rwanda rate or fixed per-scan promise.</x:v>
      </x:c>
      <x:c r="H100" s="28" t="str">
        <x:v>Product + finance + SRE</x:v>
      </x:c>
      <x:c r="I100" s="28" t="str">
        <x:v>M023; M041; M084; M091</x:v>
      </x:c>
      <x:c r="J100" s="28" t="str">
        <x:v>No completion claimed by these increments. Original audit acceptance criteria remain applicable.</x:v>
      </x:c>
      <x:c r="K100" s="28" t="str">
        <x:v>Not evidenced by these deliveries</x:v>
      </x:c>
      <x:c r="L100" s="28" t="str">
        <x:v>https://drive.google.com/file/d/15X3_uSbHztLL57IL_d3Xo9hc9zInJuyN/view</x:v>
      </x:c>
    </x:row>
    <x:row r="101" ht="116" customHeight="1">
      <x:c r="A101" s="28" t="str">
        <x:v>M095</x:v>
      </x:c>
      <x:c r="B101" s="28" t="str">
        <x:v>P3</x:v>
      </x:c>
      <x:c r="C101" s="28" t="str">
        <x:v>Measured optimization</x:v>
      </x:c>
      <x:c r="D101" s="28" t="str">
        <x:v>Optimize inference pool/index checks only after accepted baseline capacity data</x:v>
      </x:c>
      <x:c r="E101" s="28" t="str">
        <x:v>Open; no completion evidence</x:v>
      </x:c>
      <x:c r="F101" s="28" t="str">
        <x:v>No new completion claim in this increment.</x:v>
      </x:c>
      <x:c r="G101" s="28" t="str">
        <x:v>Measured bottleneck and benefit threshold documented; bounded pool or compatibility-cache change preserves model/consent correctness and cost cap; before/after load and failure results demonstrate improvement.</x:v>
      </x:c>
      <x:c r="H101" s="28" t="str">
        <x:v>Performance + platform</x:v>
      </x:c>
      <x:c r="I101" s="28" t="str">
        <x:v>M038; M041; M084; M094</x:v>
      </x:c>
      <x:c r="J101" s="28" t="str">
        <x:v>No completion claimed by these increments. Original audit acceptance criteria remain applicable.</x:v>
      </x:c>
      <x:c r="K101" s="28" t="str">
        <x:v>Not evidenced by these deliveries</x:v>
      </x:c>
      <x:c r="L101" s="28" t="str">
        <x:v>https://drive.google.com/file/d/15X3_uSbHztLL57IL_d3Xo9hc9zInJuyN/view</x:v>
      </x:c>
    </x:row>
  </x:sheetData>
  <x:mergeCells>
    <x:mergeCell ref="A1:L2"/>
    <x:mergeCell ref="A3:L4"/>
  </x:mergeCells>
  <x:conditionalFormatting sqref="E7:E101">
    <x:cfRule type="expression" dxfId="0" priority="1">
      <x:formula>E7="Updated in Increment04"</x:formula>
    </x:cfRule>
  </x:conditionalFormatting>
  <x:conditionalFormatting sqref="B7:B101">
    <x:cfRule type="expression" dxfId="1" priority="2">
      <x:formula>B7="P0"</x:formula>
    </x:cfRule>
  </x:conditionalFormatting>
  <x:dataValidations count="1">
    <x:dataValidation type="list" sqref="E7:E101">
      <x:formula1>"Updated in Increment04,Earlier source work; acceptance open,Open; no completion 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e6ceddd31045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0" hidden="0" customWidth="1"/>
    <x:col min="4" max="4" width="62" hidden="0" customWidth="1"/>
    <x:col min="5" max="5" width="35" hidden="0" customWidth="1"/>
  </x:cols>
  <x:sheetData>
    <x:row r="1" ht="24" customHeight="1">
      <x:c r="A1" s="10" t="str">
        <x:v>Verification | What actually ran</x:v>
      </x:c>
      <x:c r="B1" s="10"/>
      <x:c r="C1" s="10"/>
      <x:c r="D1" s="10"/>
      <x:c r="E1" s="10"/>
    </x:row>
    <x:row r="2" ht="24" customHeight="1">
      <x:c r="A2" s="10"/>
      <x:c r="B2" s="10"/>
      <x:c r="C2" s="10"/>
      <x:c r="D2" s="10"/>
      <x:c r="E2" s="10"/>
    </x:row>
    <x:row r="3" ht="20" customHeight="1">
      <x:c r="A3" s="16" t="str">
        <x:v>Counts exclude historical package claims. Database, native-device and deployed acceptance are explicitly separated from local checks.</x:v>
      </x:c>
      <x:c r="B3" s="16"/>
      <x:c r="C3" s="16"/>
      <x:c r="D3" s="16"/>
      <x:c r="E3" s="16"/>
    </x:row>
    <x:row r="4" ht="20" customHeight="1">
      <x:c r="A4" s="16"/>
      <x:c r="B4" s="16"/>
      <x:c r="C4" s="16"/>
      <x:c r="D4" s="16"/>
      <x:c r="E4" s="16"/>
    </x:row>
    <x:row r="5">
      <x:c r="A5" s="6"/>
      <x:c r="B5" s="6"/>
      <x:c r="C5" s="6"/>
      <x:c r="D5" s="6"/>
      <x:c r="E5" s="6"/>
    </x:row>
    <x:row r="6" ht="32" customHeight="1">
      <x:c r="A6" s="23" t="str">
        <x:v>Lane</x:v>
      </x:c>
      <x:c r="B6" s="23" t="str">
        <x:v>Result</x:v>
      </x:c>
      <x:c r="C6" s="23" t="str">
        <x:v>Count</x:v>
      </x:c>
      <x:c r="D6" s="23" t="str">
        <x:v>Boundary / qualification</x:v>
      </x:c>
      <x:c r="E6" s="23" t="str">
        <x:v>Evidence</x:v>
      </x:c>
    </x:row>
    <x:row r="7" ht="78" customHeight="1">
      <x:c r="A7" s="28" t="str">
        <x:v>New Node admission/worker fixtures</x:v>
      </x:c>
      <x:c r="B7" s="28" t="str">
        <x:v>PASS</x:v>
      </x:c>
      <x:c r="C7" s="28" t="n">
        <x:v>86</x:v>
      </x:c>
      <x:c r="D7" s="28" t="str">
        <x:v>Actual TypeScript handler logic and WebCrypto RSA; explicit registry/database/parser fixtures.</x:v>
      </x:c>
      <x:c r="E7" s="28" t="str">
        <x:v>evidence/ and VALIDATION_RESULTS.json</x:v>
      </x:c>
    </x:row>
    <x:row r="8" ht="78" customHeight="1">
      <x:c r="A8" s="28" t="str">
        <x:v>Existing Edge pure-module regressions</x:v>
      </x:c>
      <x:c r="B8" s="28" t="str">
        <x:v>PASS</x:v>
      </x:c>
      <x:c r="C8" s="28" t="n">
        <x:v>66</x:v>
      </x:c>
      <x:c r="D8" s="28" t="str">
        <x:v>Rerun locally; does not include all prior package tests.</x:v>
      </x:c>
      <x:c r="E8" s="28" t="str">
        <x:v>evidence/ and VALIDATION_RESULTS.json</x:v>
      </x:c>
    </x:row>
    <x:row r="9" ht="78" customHeight="1">
      <x:c r="A9" s="28" t="str">
        <x:v>Python operational/DSN/SQL-source checks</x:v>
      </x:c>
      <x:c r="B9" s="28" t="str">
        <x:v>PASS</x:v>
      </x:c>
      <x:c r="C9" s="28" t="n">
        <x:v>20</x:v>
      </x:c>
      <x:c r="D9" s="28" t="str">
        <x:v>11 executable guard tests and 9 source-contract assertions; no SQL engine.</x:v>
      </x:c>
      <x:c r="E9" s="28" t="str">
        <x:v>evidence/ and VALIDATION_RESULTS.json</x:v>
      </x:c>
    </x:row>
    <x:row r="10" ht="78" customHeight="1">
      <x:c r="A10" s="28" t="str">
        <x:v>Guarded delta applier</x:v>
      </x:c>
      <x:c r="B10" s="28" t="str">
        <x:v>PASS</x:v>
      </x:c>
      <x:c r="C10" s="28" t="n">
        <x:v>8</x:v>
      </x:c>
      <x:c r="D10" s="28" t="str">
        <x:v>Actual temporary-file checks, drift rejection, symlink/path protection and idempotent application.</x:v>
      </x:c>
      <x:c r="E10" s="28" t="str">
        <x:v>evidence/ and VALIDATION_RESULTS.json</x:v>
      </x:c>
    </x:row>
    <x:row r="11" ht="78" customHeight="1">
      <x:c r="A11" s="28" t="str">
        <x:v>TypeScript strict compile</x:v>
      </x:c>
      <x:c r="B11" s="28" t="str">
        <x:v>PASS</x:v>
      </x:c>
      <x:c r="C11" s="28"/>
      <x:c r="D11" s="28" t="str">
        <x:v>Runtime/Supabase declarations are explicitly substituted; not real SDK or Deno validation.</x:v>
      </x:c>
      <x:c r="E11" s="28" t="str">
        <x:v>evidence/ and VALIDATION_RESULTS.json</x:v>
      </x:c>
    </x:row>
    <x:row r="12" ht="78" customHeight="1">
      <x:c r="A12" s="28" t="str">
        <x:v>GitHub action pin check and TOML/shell syntax</x:v>
      </x:c>
      <x:c r="B12" s="28" t="str">
        <x:v>PASS</x:v>
      </x:c>
      <x:c r="C12" s="28"/>
      <x:c r="D12" s="28" t="str">
        <x:v>Local configuration checks only.</x:v>
      </x:c>
      <x:c r="E12" s="28" t="str">
        <x:v>evidence/ and VALIDATION_RESULTS.json</x:v>
      </x:c>
    </x:row>
    <x:row r="13" ht="78" customHeight="1">
      <x:c r="A13" s="28" t="str">
        <x:v>PostgreSQL 17 queue and separate-session tests</x:v>
      </x:c>
      <x:c r="B13" s="28" t="str">
        <x:v>UNAVAILABLE</x:v>
      </x:c>
      <x:c r="C13" s="28" t="n">
        <x:v>0</x:v>
      </x:c>
      <x:c r="D13" s="28" t="str">
        <x:v>psql absent; runner returned exit 2. SQL body and concurrency tests NOT executed.</x:v>
      </x:c>
      <x:c r="E13" s="28" t="str">
        <x:v>evidence/ and VALIDATION_RESULTS.json</x:v>
      </x:c>
    </x:row>
    <x:row r="14" ht="78" customHeight="1">
      <x:c r="A14" s="28" t="str">
        <x:v>Full schema, real Auth/PostgREST, Deno and model integration</x:v>
      </x:c>
      <x:c r="B14" s="28" t="str">
        <x:v>NOT RUN</x:v>
      </x:c>
      <x:c r="C14" s="28" t="n">
        <x:v>0</x:v>
      </x:c>
      <x:c r="D14" s="28" t="str">
        <x:v>No full application/deployed environment acceptance.</x:v>
      </x:c>
      <x:c r="E14" s="28" t="str">
        <x:v>evidence/ and VALIDATION_RESULTS.json</x:v>
      </x:c>
    </x:row>
    <x:row r="15" ht="78" customHeight="1">
      <x:c r="A15" s="28" t="str">
        <x:v>Signed Android/iOS, physical-device SMS, USSD and fleet tests</x:v>
      </x:c>
      <x:c r="B15" s="28" t="str">
        <x:v>NOT RUN</x:v>
      </x:c>
      <x:c r="C15" s="28" t="n">
        <x:v>0</x:v>
      </x:c>
      <x:c r="D15" s="28" t="str">
        <x:v>No native build or device acceptance in this increment.</x:v>
      </x:c>
      <x:c r="E15" s="28" t="str">
        <x:v>evidence/ and VALIDATION_RESULTS.json</x:v>
      </x:c>
    </x:row>
    <x:row r="16" ht="78" customHeight="1">
      <x:c r="A16" s="28" t="str">
        <x:v>Production deployment and hosted required CI</x:v>
      </x:c>
      <x:c r="B16" s="28" t="str">
        <x:v>NOT RUN</x:v>
      </x:c>
      <x:c r="C16" s="28" t="n">
        <x:v>0</x:v>
      </x:c>
      <x:c r="D16" s="28" t="str">
        <x:v>No live database, provider, payment or deployed application changes.</x:v>
      </x:c>
      <x:c r="E16" s="28" t="str">
        <x:v>evidence/ and VALIDATION_RESULTS.json</x:v>
      </x:c>
    </x:row>
    <x:row r="17">
      <x:c r="A17" s="6"/>
      <x:c r="B17" s="6"/>
      <x:c r="C17" s="6"/>
      <x:c r="D17" s="6"/>
      <x:c r="E17" s="6"/>
    </x:row>
    <x:row r="18">
      <x:c r="A18" s="28" t="str">
        <x:v>The 20 Python guard/source checks comprise 11 executable guard tests and 9 source assertions. They do not execute SQL. The 8 applier tests use real temporary files.</x:v>
      </x:c>
      <x:c r="B18" s="28"/>
      <x:c r="C18" s="28"/>
      <x:c r="D18" s="28"/>
      <x:c r="E18" s="28"/>
    </x:row>
    <x:row r="19">
      <x:c r="A19" s="28"/>
      <x:c r="B19" s="28"/>
      <x:c r="C19" s="28"/>
      <x:c r="D19" s="28"/>
      <x:c r="E19" s="28"/>
    </x:row>
  </x:sheetData>
  <x:mergeCells>
    <x:mergeCell ref="A1:E2"/>
    <x:mergeCell ref="A3:E4"/>
    <x:mergeCell ref="A18:E19"/>
  </x:mergeCells>
  <x:conditionalFormatting sqref="B7:B16">
    <x:cfRule type="expression" dxfId="2" priority="1">
      <x:formula>B7="PASS"</x:formula>
    </x:cfRule>
    <x:cfRule type="expression" dxfId="3" priority="2">
      <x:formula>B7="UNAVAILABLE"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5756569c4a40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62" hidden="0" customWidth="1"/>
    <x:col min="4" max="4" width="58" hidden="0" customWidth="1"/>
  </x:cols>
  <x:sheetData>
    <x:row r="1" ht="24" customHeight="1">
      <x:c r="A1" s="10" t="str">
        <x:v>Sources | Version and scope</x:v>
      </x:c>
      <x:c r="B1" s="10"/>
      <x:c r="C1" s="10"/>
      <x:c r="D1" s="10"/>
    </x:row>
    <x:row r="2" ht="24" customHeight="1">
      <x:c r="A2" s="10"/>
      <x:c r="B2" s="10"/>
      <x:c r="C2" s="10"/>
      <x:c r="D2" s="10"/>
    </x:row>
    <x:row r="3" ht="20" customHeight="1">
      <x:c r="A3" s="16" t="str">
        <x:v>The follow-on review used the latest complete cumulative overlay, the full 95-task register and selected original dependencies.</x:v>
      </x:c>
      <x:c r="B3" s="16"/>
      <x:c r="C3" s="16"/>
      <x:c r="D3" s="16"/>
    </x:row>
    <x:row r="4" ht="20" customHeight="1">
      <x:c r="A4" s="16"/>
      <x:c r="B4" s="16"/>
      <x:c r="C4" s="16"/>
      <x:c r="D4" s="16"/>
    </x:row>
    <x:row r="5">
      <x:c r="A5" s="6"/>
      <x:c r="B5" s="6"/>
      <x:c r="C5" s="6"/>
      <x:c r="D5" s="6"/>
    </x:row>
    <x:row r="6" ht="32" customHeight="1">
      <x:c r="A6" s="23" t="str">
        <x:v>Source</x:v>
      </x:c>
      <x:c r="B6" s="23" t="str">
        <x:v>Use</x:v>
      </x:c>
      <x:c r="C6" s="23" t="str">
        <x:v>URL / package path</x:v>
      </x:c>
      <x:c r="D6" s="23" t="str">
        <x:v>Qualification</x:v>
      </x:c>
    </x:row>
    <x:row r="7" ht="76" customHeight="1">
      <x:c r="A7" s="28" t="str">
        <x:v>Mobio target folder</x:v>
      </x:c>
      <x:c r="B7" s="28" t="str">
        <x:v>Live folder metadata and source tree</x:v>
      </x:c>
      <x:c r="C7" s="28" t="str">
        <x:v>https://drive.google.com/drive/folders/120JIOTyeNX6nHaHPDqS3UgbaTWyJAE57</x:v>
      </x:c>
      <x:c r="D7" s="28" t="str">
        <x:v>Anyone-with-link writer permission verified September 28; permissions were not changed.</x:v>
      </x:c>
    </x:row>
    <x:row r="8" ht="76" customHeight="1">
      <x:c r="A8" s="28" t="str">
        <x:v>Prior complete Increment03 ZIP</x:v>
      </x:c>
      <x:c r="B8" s="28" t="str">
        <x:v>Source baseline for this increment</x:v>
      </x:c>
      <x:c r="C8" s="28" t="str">
        <x:v>https://drive.google.com/file/d/19b78ZKRec3FG_N1fGbDFpu2SwpYUUHWu/view</x:v>
      </x:c>
      <x:c r="D8" s="28" t="str">
        <x:v>Cumulative overlay, not a full standalone app repository.</x:v>
      </x:c>
    </x:row>
    <x:row r="9" ht="76" customHeight="1">
      <x:c r="A9" s="28" t="str">
        <x:v>Original backlog XLSX</x:v>
      </x:c>
      <x:c r="B9" s="28" t="str">
        <x:v>95 original tasks and acceptance criteria</x:v>
      </x:c>
      <x:c r="C9" s="28" t="str">
        <x:v>https://drive.google.com/file/d/15X3_uSbHztLL57IL_d3Xo9hc9zInJuyN/view</x:v>
      </x:c>
      <x:c r="D9" s="28" t="str">
        <x:v>Original task rows retained in this workbook.</x:v>
      </x:c>
    </x:row>
    <x:row r="10" ht="76" customHeight="1">
      <x:c r="A10" s="28" t="str">
        <x:v>Original production report</x:v>
      </x:c>
      <x:c r="B10" s="28" t="str">
        <x:v>Earlier findings and scope</x:v>
      </x:c>
      <x:c r="C10" s="28" t="str">
        <x:v>https://drive.google.com/file/d/1QGQeKDZ_139Nw1DzXiEhfbggCVB301tz/view</x:v>
      </x:c>
      <x:c r="D10" s="28" t="str">
        <x:v>September 27 assessment; not a current production attestation.</x:v>
      </x:c>
    </x:row>
    <x:row r="11" ht="76" customHeight="1">
      <x:c r="A11" s="28" t="str">
        <x:v>Increment04 destination</x:v>
      </x:c>
      <x:c r="B11" s="28" t="str">
        <x:v>Produced code, register and verification</x:v>
      </x:c>
      <x:c r="C11" s="28" t="str">
        <x:v>https://drive.google.com/drive/folders/14lsaqxYMJutws1GNQQYHZka0ZOZgjXNf</x:v>
      </x:c>
      <x:c r="D11" s="28" t="str">
        <x:v>Uploaded artifacts do not constitute deployment.</x:v>
      </x:c>
    </x:row>
    <x:row r="12" ht="76" customHeight="1">
      <x:c r="A12" s="28" t="str">
        <x:v>Selected baseline dependencies</x:v>
      </x:c>
      <x:c r="B12" s="28" t="str">
        <x:v>Config, HTTP, validation, collector signatures, Supabase client</x:v>
      </x:c>
      <x:c r="C12" s="28" t="str">
        <x:v>sources.json</x:v>
      </x:c>
      <x:c r="D12" s="28" t="str">
        <x:v>Exact Drive IDs and archive checksums included in the package.</x:v>
      </x:c>
    </x:row>
    <x:row r="13">
      <x:c r="A13" s="6"/>
      <x:c r="B13" s="6"/>
      <x:c r="C13" s="6"/>
      <x:c r="D13" s="6"/>
    </x:row>
    <x:row r="14">
      <x:c r="A14" s="6"/>
      <x:c r="B14" s="6"/>
      <x:c r="C14" s="6"/>
      <x:c r="D14" s="6"/>
    </x:row>
  </x:sheetData>
  <x:mergeCells>
    <x:mergeCell ref="A1:D2"/>
    <x:mergeCell ref="A3:D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24" hidden="0" customWidth="1"/>
    <x:col min="4" max="4" width="22" hidden="0" customWidth="1"/>
    <x:col min="5" max="5" width="40" hidden="0" customWidth="1"/>
    <x:col min="6" max="6" width="19" hidden="0" customWidth="1"/>
    <x:col min="7" max="7" width="22" hidden="0" customWidth="1"/>
    <x:col min="8" max="8" width="22" hidden="0" customWidth="1"/>
    <x:col min="9" max="9" width="12" hidden="0" customWidth="1"/>
    <x:col min="10" max="10" width="22" hidden="0" customWidth="1"/>
    <x:col min="11" max="11" width="48" hidden="0" customWidth="1"/>
    <x:col min="12" max="12" width="40" hidden="0" customWidth="1"/>
    <x:col min="13" max="13" width="42" hidden="0" customWidth="1"/>
  </x:cols>
  <x:sheetData>
    <x:row r="1" ht="24" customHeight="1">
      <x:c r="A1" s="10" t="str">
        <x:v>Original audit | Acceptance criteria preserved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4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20" customHeight="1">
      <x:c r="A3" s="16" t="str">
        <x:v>Verbatim task rows from the September 27 backlog. Original status is historical; use the current delivery register for Increment04 evidence.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20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6" ht="32" customHeight="1">
      <x:c r="A6" s="23" t="str">
        <x:v>ID</x:v>
      </x:c>
      <x:c r="B6" s="23" t="str">
        <x:v>Priority</x:v>
      </x:c>
      <x:c r="C6" s="23" t="str">
        <x:v>Release scope</x:v>
      </x:c>
      <x:c r="D6" s="23" t="str">
        <x:v>Area</x:v>
      </x:c>
      <x:c r="E6" s="23" t="str">
        <x:v>Task</x:v>
      </x:c>
      <x:c r="F6" s="23" t="str">
        <x:v>Original status</x:v>
      </x:c>
      <x:c r="G6" s="23" t="str">
        <x:v>Assigned owner</x:v>
      </x:c>
      <x:c r="H6" s="23" t="str">
        <x:v>Owner role</x:v>
      </x:c>
      <x:c r="I6" s="23" t="str">
        <x:v>Effort</x:v>
      </x:c>
      <x:c r="J6" s="23" t="str">
        <x:v>Dependencies</x:v>
      </x:c>
      <x:c r="K6" s="23" t="str">
        <x:v>Original acceptance criteria</x:v>
      </x:c>
      <x:c r="L6" s="23" t="str">
        <x:v>Why it matters</x:v>
      </x:c>
      <x:c r="M6" s="23" t="str">
        <x:v>Original evidence</x:v>
      </x:c>
    </x:row>
    <x:row r="7" ht="112" customHeight="1">
      <x:c r="A7" s="28" t="str">
        <x:v>M001</x:v>
      </x:c>
      <x:c r="B7" s="28" t="str">
        <x:v>P0</x:v>
      </x:c>
      <x:c r="C7" s="28" t="str">
        <x:v>Core</x:v>
      </x:c>
      <x:c r="D7" s="28" t="str">
        <x:v>Source access</x:v>
      </x:c>
      <x:c r="E7" s="28" t="str">
        <x:v>Restrict the public Drive working-copy folder and preserve an access-review record</x:v>
      </x:c>
      <x:c r="F7" s="28" t="str">
        <x:v>Not started</x:v>
      </x:c>
      <x:c r="G7" s="28"/>
      <x:c r="H7" s="28" t="str">
        <x:v>Security lead + folder owner</x:v>
      </x:c>
      <x:c r="I7" s="28" t="str">
        <x:v>S</x:v>
      </x:c>
      <x:c r="J7" s="28" t="str">
        <x:v>None</x:v>
      </x:c>
      <x:c r="K7" s="28" t="str">
        <x:v>Named access replaces anyone-writer; inherited/child permissions and link access are verified; preserve activity evidence and an incident decision without asserting outsider use.</x:v>
      </x:c>
      <x:c r="L7" s="28" t="str">
        <x:v>Root permission metadata confirms anyone-with-link writer access; source and signing material share that folder.</x:v>
      </x:c>
      <x:c r="M7" s="28" t="str">
        <x:v>Drive root metadata reviewed 2026-09-27; https://drive.google.com/drive/folders/120JIOTyeNX6nHaHPDqS3UgbaTWyJAE57; audit/platform_review.md PL-01</x:v>
      </x:c>
    </x:row>
    <x:row r="8" ht="112" customHeight="1">
      <x:c r="A8" s="28" t="str">
        <x:v>M002</x:v>
      </x:c>
      <x:c r="B8" s="28" t="str">
        <x:v>P0</x:v>
      </x:c>
      <x:c r="C8" s="28" t="str">
        <x:v>Core</x:v>
      </x:c>
      <x:c r="D8" s="28" t="str">
        <x:v>Signing and secrets</x:v>
      </x:c>
      <x:c r="E8" s="28" t="str">
        <x:v>Inventory exposed credentials and replace or revoke affected secrets using their actual provenance</x:v>
      </x:c>
      <x:c r="F8" s="28" t="str">
        <x:v>Not started</x:v>
      </x:c>
      <x:c r="G8" s="28"/>
      <x:c r="H8" s="28" t="str">
        <x:v>Security + Android release owner</x:v>
      </x:c>
      <x:c r="I8" s="28" t="str">
        <x:v>M</x:v>
      </x:c>
      <x:c r="J8" s="28" t="str">
        <x:v>M001</x:v>
      </x:c>
      <x:c r="K8" s="28" t="str">
        <x:v>Identify owner, purpose, exposure window and actual upload/app-signing role; reset upload keys or revoke credentials as warranted; prove a trusted signed update path and remove exposed copies under retention policy.</x:v>
      </x:c>
      <x:c r="L8" s="28" t="str">
        <x:v>Signing configuration and two keystores exist in the publicly editable working-copy upload; current Git index does not track them.</x:v>
      </x:c>
      <x:c r="M8" s="28" t="str">
        <x:v>android/key.properties; android/mobi-upload.jks; android/app/upload-keystore.jks; audit/git_index_inventory.json; https://support.google.com/googleplay/android-developer/answer/9842756?hl=en
Original source: https://drive.google.com/file/d/1eV0tMds3GICIBCp0yGnF-GDre8fAckk2/view?usp=drivesdk
https://drive.google.com/file/d/1Hc8W34L5NqaydBHLhTJN9MXwuk4dwEtJ/view?usp=drivesdk</x:v>
      </x:c>
    </x:row>
    <x:row r="9" ht="112" customHeight="1">
      <x:c r="A9" s="28" t="str">
        <x:v>M003</x:v>
      </x:c>
      <x:c r="B9" s="28" t="str">
        <x:v>P0</x:v>
      </x:c>
      <x:c r="C9" s="28" t="str">
        <x:v>Core</x:v>
      </x:c>
      <x:c r="D9" s="28" t="str">
        <x:v>Identity authority</x:v>
      </x:c>
      <x:c r="E9" s="28" t="str">
        <x:v>Bind verified WhatsApp/phone identity to an immutable, unique Auth identity</x:v>
      </x:c>
      <x:c r="F9" s="28" t="str">
        <x:v>Not started</x:v>
      </x:c>
      <x:c r="G9" s="28"/>
      <x:c r="H9" s="28" t="str">
        <x:v>Backend + security</x:v>
      </x:c>
      <x:c r="I9" s="28" t="str">
        <x:v>L</x:v>
      </x:c>
      <x:c r="J9" s="28" t="str">
        <x:v>M001</x:v>
      </x:c>
      <x:c r="K9" s="28" t="str">
        <x:v>Separate editable contact data from verified login authority; migrate duplicate aliases; verification cannot select or reassign another account; negative fixtures plus real Auth collision behavior pass. Phone-based BioPay discovery also resolves only the canonical verified recipient authority, never an editable contact alias.</x:v>
      </x:c>
      <x:c r="L9" s="28" t="str">
        <x:v>Editable profile aliases and newest-created selection can misdirect OTP resolution; mocked helper reproduced wrong selection and a reassignment attempt.</x:v>
      </x:c>
      <x:c r="M9" s="28" t="str">
        <x:v>supabase/functions/verify-login-otp/index.ts:80-229; supabase/migrations/20260614153000_rentals_vehicle_type_onboarding.sql:193-243; audit/validation_review.md IV-01; supabase/migrations/20260908090000_biopay_payment_discovery.sql:239-245
Original source: https://drive.google.com/file/d/1rLnSrgP58oGUWfhbZqV18wBkV-xUvuGO/view?usp=drivesdk
https://drive.google.com/file/d/1rgP7K6iACtSIV9YJI6_7tmzawe63L1r6/view?usp=drivesdk
https://drive.google.com/file/d/1VzfemejMhTryu0KVQFVpt8lxcSH57O4N/view?usp=drivesdk</x:v>
      </x:c>
    </x:row>
    <x:row r="10" ht="112" customHeight="1">
      <x:c r="A10" s="28" t="str">
        <x:v>M004</x:v>
      </x:c>
      <x:c r="B10" s="28" t="str">
        <x:v>P1</x:v>
      </x:c>
      <x:c r="C10" s="28" t="str">
        <x:v>Core</x:v>
      </x:c>
      <x:c r="D10" s="28" t="str">
        <x:v>Authorization</x:v>
      </x:c>
      <x:c r="E10" s="28" t="str">
        <x:v>Protect identity and privilege columns and audit effective table/RPC grants</x:v>
      </x:c>
      <x:c r="F10" s="28" t="str">
        <x:v>Not started</x:v>
      </x:c>
      <x:c r="G10" s="28"/>
      <x:c r="H10" s="28" t="str">
        <x:v>Backend + security</x:v>
      </x:c>
      <x:c r="I10" s="28" t="str">
        <x:v>M</x:v>
      </x:c>
      <x:c r="J10" s="28" t="str">
        <x:v>M003</x:v>
      </x:c>
      <x:c r="K10" s="28" t="str">
        <x:v>Publish effective role/table/column/function matrix; default-deny sensitive updates and security-definer execution; ordinary sessions cannot mutate verified aliases, creation order, member ID or admin authority. Test fn_biopay_discover against attempted editable-phone impersonation.</x:v>
      </x:c>
      <x:c r="L10" s="28" t="str">
        <x:v>Own-row policies do not by themselves protect sensitive column authority; accumulated migrations can preserve broad grants.</x:v>
      </x:c>
      <x:c r="M10" s="28" t="str">
        <x:v>supabase/migrations/20260501080000_backend_security_payment_rls_hardening.sql; supabase/migrations/20260501110000_security_profile_chat_dashboard_hardening.sql; audit/backend_review.md B-02; supabase/migrations/20260908090000_biopay_payment_discovery.sql:239-245
Original source: https://drive.google.com/file/d/1iPUAzOiUANdBMpfbyHZgffrhTR3njUz1/view?usp=drivesdk
https://drive.google.com/file/d/1h4svjoUNZVOu5_kZOWH3XMtGKfnOqP2l/view?usp=drivesdk
https://drive.google.com/file/d/1rgP7K6iACtSIV9YJI6_7tmzawe63L1r6/view?usp=drivesdk</x:v>
      </x:c>
    </x:row>
    <x:row r="11" ht="112" customHeight="1">
      <x:c r="A11" s="28" t="str">
        <x:v>M005</x:v>
      </x:c>
      <x:c r="B11" s="28" t="str">
        <x:v>P1</x:v>
      </x:c>
      <x:c r="C11" s="28" t="str">
        <x:v>Core</x:v>
      </x:c>
      <x:c r="D11" s="28" t="str">
        <x:v>Member identity</x:v>
      </x:c>
      <x:c r="E11" s="28" t="str">
        <x:v>Reconcile duplicate member IDs and enforce atomic unique six-digit allocation</x:v>
      </x:c>
      <x:c r="F11" s="28" t="str">
        <x:v>Not started</x:v>
      </x:c>
      <x:c r="G11" s="28"/>
      <x:c r="H11" s="28" t="str">
        <x:v>Backend + data migration owner</x:v>
      </x:c>
      <x:c r="I11" s="28" t="str">
        <x:v>M</x:v>
      </x:c>
      <x:c r="J11" s="28" t="str">
        <x:v>M003; M004</x:v>
      </x:c>
      <x:c r="K11" s="28" t="str">
        <x:v>Duplicate inventory reviewed; controlled remediation preserves account UUIDs and references; unique constraint plus concurrent allocation tests pass; ambiguous recipient lookup fails safely.</x:v>
      </x:c>
      <x:c r="L11" s="28" t="str">
        <x:v>Server allocation lacks a uniqueness constraint and existing lookups can choose one ambiguous match.</x:v>
      </x:c>
      <x:c r="M11" s="28" t="str">
        <x:v>supabase/migrations/20260324175000_comprehensive_rpcs.sql:40-72; audit/flutter_review.md FL-01; audit/backend_review.md
Original source: https://drive.google.com/file/d/13yI6aGP0ZoPmYKSFL-PiftK-FD0VkBO-/view?usp=drivesdk</x:v>
      </x:c>
    </x:row>
    <x:row r="12" ht="112" customHeight="1">
      <x:c r="A12" s="28" t="str">
        <x:v>M006</x:v>
      </x:c>
      <x:c r="B12" s="28" t="str">
        <x:v>P1</x:v>
      </x:c>
      <x:c r="C12" s="28" t="str">
        <x:v>Core</x:v>
      </x:c>
      <x:c r="D12" s="28" t="str">
        <x:v>Member identity</x:v>
      </x:c>
      <x:c r="E12" s="28" t="str">
        <x:v>Display the authoritative member ID consistently across all client surfaces</x:v>
      </x:c>
      <x:c r="F12" s="28" t="str">
        <x:v>Not started</x:v>
      </x:c>
      <x:c r="G12" s="28"/>
      <x:c r="H12" s="28" t="str">
        <x:v>Flutter + QA</x:v>
      </x:c>
      <x:c r="I12" s="28" t="str">
        <x:v>M</x:v>
      </x:c>
      <x:c r="J12" s="28" t="str">
        <x:v>M005</x:v>
      </x:c>
      <x:c r="K12" s="28" t="str">
        <x:v>One fixture displays one server-issued six-digit ID in profile, nearby, trip, chat and wallet; no fabricated fallback; wrong/missing/ambiguous recipient regression cases pass.</x:v>
      </x:c>
      <x:c r="L12" s="28" t="str">
        <x:v>Driver cards hash UUIDs, Trips truncates them, and Profile uses different or fixed fallbacks.</x:v>
      </x:c>
      <x:c r="M12" s="28" t="str">
        <x:v>lib/shared/widgets/driver_card.dart; lib/features/profile/presentation/profile_screen.dart; lib/features/bookings/presentation/bookings_screen.dart; audit/flutter_review.md FL-01, FL-08
Original source: https://drive.google.com/file/d/133jijD3OWgkiq8kvYppJsiGdn427lgiK/view?usp=drivesdk
https://drive.google.com/file/d/18urTvEQkxOoO54RdPEqF3hG6P_FLgWYX/view?usp=drivesdk</x:v>
      </x:c>
    </x:row>
    <x:row r="13" ht="112" customHeight="1">
      <x:c r="A13" s="28" t="str">
        <x:v>M007</x:v>
      </x:c>
      <x:c r="B13" s="28" t="str">
        <x:v>P1</x:v>
      </x:c>
      <x:c r="C13" s="28" t="str">
        <x:v>Core</x:v>
      </x:c>
      <x:c r="D13" s="28" t="str">
        <x:v>Account lifecycle</x:v>
      </x:c>
      <x:c r="E13" s="28" t="str">
        <x:v>Implement ordinary sign-out with finally-safe local and native cleanup</x:v>
      </x:c>
      <x:c r="F13" s="28" t="str">
        <x:v>Not started</x:v>
      </x:c>
      <x:c r="G13" s="28"/>
      <x:c r="H13" s="28" t="str">
        <x:v>Flutter + native platform owners</x:v>
      </x:c>
      <x:c r="I13" s="28" t="str">
        <x:v>M</x:v>
      </x:c>
      <x:c r="J13" s="28" t="str">
        <x:v>M003</x:v>
      </x:c>
      <x:c r="K13" s="28" t="str">
        <x:v>Offline exit clears local credentials, account state, drafts/listeners and camera/NFC/location activity; cleanup failures cannot restore access; account A data never appears after B signs in.</x:v>
      </x:c>
      <x:c r="L13" s="28" t="str">
        <x:v>Only Exit Admin invokes account exit; failed cleanup can prevent sign-out and current helper can retain the prior authenticated session.</x:v>
      </x:c>
      <x:c r="M13" s="28" t="str">
        <x:v>lib/app/router/screen_wrappers.dart:120-130; lib/core/auth/supabase_session_service.dart:61-81; audit/flutter_review.md FL-02
Original source: https://drive.google.com/file/d/1q4klsIHCcBSAx3BdaRdwzqNC3X2zD7jq/view?usp=drivesdk
https://drive.google.com/file/d/1yXHyXe8vVhu5ITKzP5IYgndcRKLU0V5O/view?usp=drivesdk</x:v>
      </x:c>
    </x:row>
    <x:row r="14" ht="112" customHeight="1">
      <x:c r="A14" s="28" t="str">
        <x:v>M008</x:v>
      </x:c>
      <x:c r="B14" s="28" t="str">
        <x:v>P1</x:v>
      </x:c>
      <x:c r="C14" s="28" t="str">
        <x:v>Core</x:v>
      </x:c>
      <x:c r="D14" s="28" t="str">
        <x:v>Push identity</x:v>
      </x:c>
      <x:c r="E14" s="28" t="str">
        <x:v>Revoke FCM association before losing its owning session and atomically bind device ownership</x:v>
      </x:c>
      <x:c r="F14" s="28" t="str">
        <x:v>Not started</x:v>
      </x:c>
      <x:c r="G14" s="28"/>
      <x:c r="H14" s="28" t="str">
        <x:v>Flutter + backend</x:v>
      </x:c>
      <x:c r="I14" s="28" t="str">
        <x:v>M</x:v>
      </x:c>
      <x:c r="J14" s="28" t="str">
        <x:v>M007</x:v>
      </x:c>
      <x:c r="K14" s="28" t="str">
        <x:v>Two-account device test receives only current-owner messages; captured identity is rechecked around token retrieval/upsert; anonymous registration rejected; stale-token expiry and revocation verified.</x:v>
      </x:c>
      <x:c r="L14" s="28" t="str">
        <x:v>Current signed-out cleanup runs under an identity that cannot delete the prior own-row token; anonymous refresh also needs rejection.</x:v>
      </x:c>
      <x:c r="M14" s="28" t="str">
        <x:v>lib/app/shell.dart; lib/features/notifications/data/push_notification_service.dart:343-418; audit/flutter_review.md FL-03
Original source: https://drive.google.com/file/d/1g_9q58Z-2302LqjJteF3pqrzqIRnUCUA/view?usp=drivesdk
https://drive.google.com/file/d/1pMxjMX11Yc0j6Gmpp5TvuMC7eVce0itE/view?usp=drivesdk</x:v>
      </x:c>
    </x:row>
    <x:row r="15" ht="112" customHeight="1">
      <x:c r="A15" s="28" t="str">
        <x:v>M009</x:v>
      </x:c>
      <x:c r="B15" s="28" t="str">
        <x:v>P1</x:v>
      </x:c>
      <x:c r="C15" s="28" t="str">
        <x:v>Core</x:v>
      </x:c>
      <x:c r="D15" s="28" t="str">
        <x:v>Admin security</x:v>
      </x:c>
      <x:c r="E15" s="28" t="str">
        <x:v>Define and enforce admin idle, absolute lifetime and sensitive-action authentication</x:v>
      </x:c>
      <x:c r="F15" s="28" t="str">
        <x:v>Not started</x:v>
      </x:c>
      <x:c r="G15" s="28"/>
      <x:c r="H15" s="28" t="str">
        <x:v>Security + backend + Flutter</x:v>
      </x:c>
      <x:c r="I15" s="28" t="str">
        <x:v>M</x:v>
      </x:c>
      <x:c r="J15" s="28" t="str">
        <x:v>M003; M007</x:v>
      </x:c>
      <x:c r="K15" s="28" t="str">
        <x:v>Retained timeout requirements are enforced server-side and reflected in UI; idle/background/resume/refresh/role-revocation tests pass; high-impact operations require the agreed admin purpose.</x:v>
      </x:c>
      <x:c r="L15" s="28" t="str">
        <x:v>Advertised 15-minute timeout affects a fallback flag while an admin role can remain authoritative indefinitely in the client guard.</x:v>
      </x:c>
      <x:c r="M15" s="28" t="str">
        <x:v>lib/core/auth/admin_session_guard.dart; lib/app/router/app_router.dart; audit/flutter_review.md FL-04; audit/backend_review.md
Original source: https://drive.google.com/file/d/1X7sWfPgFxAKSm-EZLwKq7SmuvRQHnOlH/view?usp=drivesdk
https://drive.google.com/file/d/10iUOdZWSzYH51vT01fjN0BBQsTULtV9D/view?usp=drivesdk</x:v>
      </x:c>
    </x:row>
    <x:row r="16" ht="112" customHeight="1">
      <x:c r="A16" s="28" t="str">
        <x:v>M010</x:v>
      </x:c>
      <x:c r="B16" s="28" t="str">
        <x:v>P1</x:v>
      </x:c>
      <x:c r="C16" s="28" t="str">
        <x:v>Core</x:v>
      </x:c>
      <x:c r="D16" s="28" t="str">
        <x:v>Credential storage</x:v>
      </x:c>
      <x:c r="E16" s="28" t="str">
        <x:v>Migrate native refresh-session persistence to supported OS-protected storage</x:v>
      </x:c>
      <x:c r="F16" s="28" t="str">
        <x:v>Not started</x:v>
      </x:c>
      <x:c r="G16" s="28"/>
      <x:c r="H16" s="28" t="str">
        <x:v>Flutter + security</x:v>
      </x:c>
      <x:c r="I16" s="28" t="str">
        <x:v>M</x:v>
      </x:c>
      <x:c r="J16" s="28" t="str">
        <x:v>M007</x:v>
      </x:c>
      <x:c r="K16" s="28" t="str">
        <x:v>At-rest/backup inspection and migration, restart, sign-out, reinstall and revocation tests pass on Android/iOS; recovery behavior is documented; browser storage is addressed separately.</x:v>
      </x:c>
      <x:c r="L16" s="28" t="str">
        <x:v>Supabase initialization uses default local storage; no custom protected native adapter is configured.</x:v>
      </x:c>
      <x:c r="M16" s="28" t="str">
        <x:v>lib/app/bootstrap.dart:79-82; audit/flutter_review.md FL-10; https://pub.dev/packages/supabase_flutter
Original source: https://drive.google.com/file/d/16rAbretfd1HwG3q_qLdo6WHrvbIB061u/view?usp=drivesdk
https://drive.google.com/drive/folders/1VeEGNOl32YcDgwjU7FZhqwcj_7Vyqy6c</x:v>
      </x:c>
    </x:row>
    <x:row r="17" ht="112" customHeight="1">
      <x:c r="A17" s="28" t="str">
        <x:v>M011</x:v>
      </x:c>
      <x:c r="B17" s="28" t="str">
        <x:v>P1</x:v>
      </x:c>
      <x:c r="C17" s="28" t="str">
        <x:v>Core</x:v>
      </x:c>
      <x:c r="D17" s="28" t="str">
        <x:v>Review access</x:v>
      </x:c>
      <x:c r="E17" s="28" t="str">
        <x:v>Constrain the store-review identity to monitored synthetic data and rotate its access</x:v>
      </x:c>
      <x:c r="F17" s="28" t="str">
        <x:v>Not started</x:v>
      </x:c>
      <x:c r="G17" s="28"/>
      <x:c r="H17" s="28" t="str">
        <x:v>Security + release + backend</x:v>
      </x:c>
      <x:c r="I17" s="28" t="str">
        <x:v>M</x:v>
      </x:c>
      <x:c r="J17" s="28" t="str">
        <x:v>M003; M009</x:v>
      </x:c>
      <x:c r="K17" s="28" t="str">
        <x:v>Review account has approved minimal access and no real-user financial/biometric records; rate cap, audit monitoring and rotation procedure work; live OTP-claim semantics remain enforced.</x:v>
      </x:c>
      <x:c r="L17" s="28" t="str">
        <x:v>Fixed review OTP flow still creates an ordinary consumer identity and bypasses some send throttling/Integrity checks; no admin bypass was demonstrated.</x:v>
      </x:c>
      <x:c r="M17" s="28" t="str">
        <x:v>supabase/functions/_shared/play-review-login.ts; supabase/functions/send-login-otp/index.ts; audit/backend_review.md B-11
Original source: https://drive.google.com/file/d/1GNs7SS0ZnkVMp96ZipCG6lOqW77dNTcK/view?usp=drivesdk
https://drive.google.com/file/d/14OGjfqPCwD8YXGL1_8RJVacWZZLazQZ1/view?usp=drivesdk</x:v>
      </x:c>
    </x:row>
    <x:row r="18" ht="112" customHeight="1">
      <x:c r="A18" s="28" t="str">
        <x:v>M012</x:v>
      </x:c>
      <x:c r="B18" s="28" t="str">
        <x:v>P1</x:v>
      </x:c>
      <x:c r="C18" s="28" t="str">
        <x:v>Core</x:v>
      </x:c>
      <x:c r="D18" s="28" t="str">
        <x:v>OTP production config</x:v>
      </x:c>
      <x:c r="E18" s="28" t="str">
        <x:v>Reject OTP dry-run in production and redact all authentication secrets</x:v>
      </x:c>
      <x:c r="F18" s="28" t="str">
        <x:v>Not started</x:v>
      </x:c>
      <x:c r="G18" s="28"/>
      <x:c r="H18" s="28" t="str">
        <x:v>Backend + DevOps</x:v>
      </x:c>
      <x:c r="I18" s="28" t="str">
        <x:v>S</x:v>
      </x:c>
      <x:c r="J18" s="28" t="str">
        <x:v>M002</x:v>
      </x:c>
      <x:c r="K18" s="28" t="str">
        <x:v>Deployment gate rejects WHATSAPP_CLOUD_DRY_RUN in production; sanitized config readback and log fixtures show no OTP/full phone; testing still uses explicitly isolated fixtures.</x:v>
      </x:c>
      <x:c r="L18" s="28" t="str">
        <x:v>Dry-run logs complete phone/code and reports send success, creating an unsafe production configuration.</x:v>
      </x:c>
      <x:c r="M18" s="28" t="str">
        <x:v>supabase/functions/_shared/whatsapp-cloud.ts:218-220; audit/privacy_review.md PRIV-09
Original source: https://drive.google.com/file/d/12qJwdf1UXnXqeY3d1I9ttnFYZhMZ77pT/view?usp=drivesdk</x:v>
      </x:c>
    </x:row>
    <x:row r="19" ht="112" customHeight="1">
      <x:c r="A19" s="28" t="str">
        <x:v>M013</x:v>
      </x:c>
      <x:c r="B19" s="28" t="str">
        <x:v>P2</x:v>
      </x:c>
      <x:c r="C19" s="28" t="str">
        <x:v>Core</x:v>
      </x:c>
      <x:c r="D19" s="28" t="str">
        <x:v>Abuse prevention</x:v>
      </x:c>
      <x:c r="E19" s="28" t="str">
        <x:v>Choose an explicit Play Integrity policy and bind/consume protected requests</x:v>
      </x:c>
      <x:c r="F19" s="28" t="str">
        <x:v>Not started</x:v>
      </x:c>
      <x:c r="G19" s="28"/>
      <x:c r="H19" s="28" t="str">
        <x:v>Android + backend + security</x:v>
      </x:c>
      <x:c r="I19" s="28" t="str">
        <x:v>M</x:v>
      </x:c>
      <x:c r="J19" s="28" t="str">
        <x:v>M003; M091</x:v>
      </x:c>
      <x:c r="K19" s="28" t="str">
        <x:v>Document acceptable device/app verdicts and exceptions; replay/content-substitution fixtures fail where required; monitor-to-enforce decision uses measured false rejects and does not indiscriminately block users.</x:v>
      </x:c>
      <x:c r="L19" s="28" t="str">
        <x:v>Classic token validation logs device verdicts without policy checks; nonce is not bound to request content or consumed once.</x:v>
      </x:c>
      <x:c r="M19" s="28" t="str">
        <x:v>supabase/functions/_shared/play-integrity.ts:66-72,118-298; audit/backend_review.md B-10; https://developer.android.com/google/play/integrity/classic
Original source: https://drive.google.com/file/d/1D17M-jpEvOSKaBtoBJFHNSl_V1u-p1zf/view?usp=drivesdk</x:v>
      </x:c>
    </x:row>
    <x:row r="20" ht="112" customHeight="1">
      <x:c r="A20" s="28" t="str">
        <x:v>M014</x:v>
      </x:c>
      <x:c r="B20" s="28" t="str">
        <x:v>P2</x:v>
      </x:c>
      <x:c r="C20" s="28" t="str">
        <x:v>Core</x:v>
      </x:c>
      <x:c r="D20" s="28" t="str">
        <x:v>Web session security</x:v>
      </x:c>
      <x:c r="E20" s="28" t="str">
        <x:v>Verify admin browser persistence, CSP and session revocation against an explicit threat model</x:v>
      </x:c>
      <x:c r="F20" s="28" t="str">
        <x:v>Not started</x:v>
      </x:c>
      <x:c r="G20" s="28"/>
      <x:c r="H20" s="28" t="str">
        <x:v>Web + security</x:v>
      </x:c>
      <x:c r="I20" s="28" t="str">
        <x:v>M</x:v>
      </x:c>
      <x:c r="J20" s="28" t="str">
        <x:v>M009</x:v>
      </x:c>
      <x:c r="K20" s="28" t="str">
        <x:v>Approved persistence policy, effective headers and browser expiry/revoke/role-change tests recorded; cached pages and service workers expose no prior-account sensitive data.</x:v>
      </x:c>
      <x:c r="L20" s="28" t="str">
        <x:v>Native secure storage does not address web token exposure, cached admin content or long-lived browser sessions.</x:v>
      </x:c>
      <x:c r="M20" s="28" t="str">
        <x:v>audit/flutter_review.md FL-10; scripts/web/admin_service_worker.js; scripts/tests/admin_service_worker.test.mjs; audit/validation_review.md Node Pages/Admin scope
Original source: https://drive.google.com/file/d/1AclcH-_QKjPYyyPzDbMD-36G3H2OV87A/view?usp=drivesdk
https://drive.google.com/file/d/16ZESpb117vIxtZrIiAGQhMaJiPaz_oh3/view?usp=drivesdk</x:v>
      </x:c>
    </x:row>
    <x:row r="21" ht="112" customHeight="1">
      <x:c r="A21" s="28" t="str">
        <x:v>M015</x:v>
      </x:c>
      <x:c r="B21" s="28" t="str">
        <x:v>P0</x:v>
      </x:c>
      <x:c r="C21" s="28" t="str">
        <x:v>Paid transport</x:v>
      </x:c>
      <x:c r="D21" s="28" t="str">
        <x:v>Booking authorization</x:v>
      </x:c>
      <x:c r="E21" s="28" t="str">
        <x:v>Remove passenger authority to self-confirm or mark a booking paid</x:v>
      </x:c>
      <x:c r="F21" s="28" t="str">
        <x:v>Not started</x:v>
      </x:c>
      <x:c r="G21" s="28"/>
      <x:c r="H21" s="28" t="str">
        <x:v>Backend + security</x:v>
      </x:c>
      <x:c r="I21" s="28" t="str">
        <x:v>M</x:v>
      </x:c>
      <x:c r="J21" s="28" t="str">
        <x:v>M004</x:v>
      </x:c>
      <x:c r="K21" s="28" t="str">
        <x:v>Direct PostgREST attempts to set confirmed/paid, paid_at, receipt, price, route or seat authority fail for passengers; only trusted transactional RPCs can make valid transitions.</x:v>
      </x:c>
      <x:c r="L21" s="28" t="str">
        <x:v>Owner UPDATE grant and row policy permit mutation beyond legitimate held-booking fields.</x:v>
      </x:c>
      <x:c r="M21" s="28" t="str">
        <x:v>supabase/migrations/20260608093000_public_transport_booking_foundation.sql:253,401-413; audit/backend_review.md B-01; audit/validation_review.md IV-03
Original source: https://drive.google.com/file/d/1PcLY4jkG2pCwPilr22NSbzjK9LsjgnEV/view?usp=drivesdk</x:v>
      </x:c>
    </x:row>
    <x:row r="22" ht="112" customHeight="1">
      <x:c r="A22" s="28" t="str">
        <x:v>M016</x:v>
      </x:c>
      <x:c r="B22" s="28" t="str">
        <x:v>P0</x:v>
      </x:c>
      <x:c r="C22" s="28" t="str">
        <x:v>SMS</x:v>
      </x:c>
      <x:c r="D22" s="28" t="str">
        <x:v>Receipt integrity</x:v>
      </x:c>
      <x:c r="E22" s="28" t="str">
        <x:v>Require strong payment evidence before automatic subscription activation</x:v>
      </x:c>
      <x:c r="F22" s="28" t="str">
        <x:v>Not started</x:v>
      </x:c>
      <x:c r="G22" s="28"/>
      <x:c r="H22" s="28" t="str">
        <x:v>Backend + payments owner</x:v>
      </x:c>
      <x:c r="I22" s="28" t="str">
        <x:v>L</x:v>
      </x:c>
      <x:c r="J22" s="28" t="str">
        <x:v>M020; M026</x:v>
      </x:c>
      <x:c r="K22" s="28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L22" s="28" t="str">
        <x:v>Parser forwards negative/low-confidence messages; allocator can match only amount/time without payer/member/reference.</x:v>
      </x:c>
      <x:c r="M22" s="28" t="str">
        <x:v>supabase/functions/_shared/momo-sms.ts:155-200; supabase/functions/momobio-sms-ingest/index.ts:52-73; supabase/migrations/20260906145000_subscription_receipt_integrity.sql:156-219; audit/validation_review.md IV-02
Original source: https://drive.google.com/file/d/1VLrjCisiaiRqSAoExNMKwOtQXGdWo2TW/view?usp=drivesdk
https://drive.google.com/file/d/1ABtcrIk1N1ve9MSKEpHlyDgu4FLI8yKi/view?usp=drivesdk</x:v>
      </x:c>
    </x:row>
    <x:row r="23" ht="112" customHeight="1">
      <x:c r="A23" s="28" t="str">
        <x:v>M017</x:v>
      </x:c>
      <x:c r="B23" s="28" t="str">
        <x:v>P1</x:v>
      </x:c>
      <x:c r="C23" s="28" t="str">
        <x:v>Paid transport</x:v>
      </x:c>
      <x:c r="D23" s="28" t="str">
        <x:v>Seat inventory</x:v>
      </x:c>
      <x:c r="E23" s="28" t="str">
        <x:v>Make booking holds idempotent and durably expire/release seats</x:v>
      </x:c>
      <x:c r="F23" s="28" t="str">
        <x:v>Not started</x:v>
      </x:c>
      <x:c r="G23" s="28"/>
      <x:c r="H23" s="28" t="str">
        <x:v>Backend + database QA</x:v>
      </x:c>
      <x:c r="I23" s="28" t="str">
        <x:v>M</x:v>
      </x:c>
      <x:c r="J23" s="28" t="str">
        <x:v>M015</x:v>
      </x:c>
      <x:c r="K23" s="28" t="str">
        <x:v>Bounded expiry job, cancellation and hold idempotency work; concurrent last-seat/expiry/confirmation tests conserve inventory and never produce negative or stranded seats.</x:v>
      </x:c>
      <x:c r="L23" s="28" t="str">
        <x:v>Repeated holds decrement inventory; an expired status update is rolled back by a raised exception; no durable sweeper was found.</x:v>
      </x:c>
      <x:c r="M23" s="28" t="str">
        <x:v>supabase/migrations/20260611170000_public_transport_rpc_column_qualification.sql:7-160; audit/backend_review.md B-04; audit/validation_review.md IV-05
Original source: https://drive.google.com/file/d/1FyZe9Prez95TVZQwyrYGKgBf7Fw0XAm3/view?usp=drivesdk</x:v>
      </x:c>
    </x:row>
    <x:row r="24" ht="112" customHeight="1">
      <x:c r="A24" s="28" t="str">
        <x:v>M018</x:v>
      </x:c>
      <x:c r="B24" s="28" t="str">
        <x:v>P1</x:v>
      </x:c>
      <x:c r="C24" s="28" t="str">
        <x:v>Paid transport</x:v>
      </x:c>
      <x:c r="D24" s="28" t="str">
        <x:v>Payment receipts</x:v>
      </x:c>
      <x:c r="E24" s="28" t="str">
        <x:v>Bind one provider receipt atomically to one intended booking and exact amount/currency</x:v>
      </x:c>
      <x:c r="F24" s="28" t="str">
        <x:v>Not started</x:v>
      </x:c>
      <x:c r="G24" s="28"/>
      <x:c r="H24" s="28" t="str">
        <x:v>Backend + payments owner</x:v>
      </x:c>
      <x:c r="I24" s="28" t="str">
        <x:v>M</x:v>
      </x:c>
      <x:c r="J24" s="28" t="str">
        <x:v>M015; M020</x:v>
      </x:c>
      <x:c r="K24" s="28" t="str">
        <x:v>Duplicate reference on same booking is idempotent; reference reuse on another booking is rejected; amount/currency and issuer authority are checked under concurrent confirmation.</x:v>
      </x:c>
      <x:c r="L24" s="28" t="str">
        <x:v>Receipt upsert conflict handling does not prevent a reused reference from confirming another booking.</x:v>
      </x:c>
      <x:c r="M24" s="28" t="str">
        <x:v>supabase/migrations/20260611170000_public_transport_rpc_column_qualification.sql:163-204; audit/backend_review.md B-05
Original source: https://drive.google.com/file/d/1FyZe9Prez95TVZQwyrYGKgBf7Fw0XAm3/view?usp=drivesdk</x:v>
      </x:c>
    </x:row>
    <x:row r="25" ht="112" customHeight="1">
      <x:c r="A25" s="28" t="str">
        <x:v>M019</x:v>
      </x:c>
      <x:c r="B25" s="28" t="str">
        <x:v>P1</x:v>
      </x:c>
      <x:c r="C25" s="28" t="str">
        <x:v>SMS</x:v>
      </x:c>
      <x:c r="D25" s="28" t="str">
        <x:v>Subscription periods</x:v>
      </x:c>
      <x:c r="E25" s="28" t="str">
        <x:v>Serialize paid subscription renewals by profile and vehicle type</x:v>
      </x:c>
      <x:c r="F25" s="28" t="str">
        <x:v>Not started</x:v>
      </x:c>
      <x:c r="G25" s="28"/>
      <x:c r="H25" s="28" t="str">
        <x:v>Backend + database QA</x:v>
      </x:c>
      <x:c r="I25" s="28" t="str">
        <x:v>M</x:v>
      </x:c>
      <x:c r="J25" s="28" t="str">
        <x:v>M016</x:v>
      </x:c>
      <x:c r="K25" s="28" t="str">
        <x:v>Deterministic two-session test with distinct receipts preserves both paid durations without overlap; duplicate invoice retry creates exactly one activation; expiry boundaries are explicit.</x:v>
      </x:c>
      <x:c r="L25" s="28" t="str">
        <x:v>Distinct invoices lock distinct requests and can read the same maximum period end before insertion.</x:v>
      </x:c>
      <x:c r="M25" s="28" t="str">
        <x:v>supabase/migrations/20260906145000_subscription_receipt_integrity.sql:298-390; audit/backend_review.md B-06; audit/validation_review.md IV-04
Original source: https://drive.google.com/file/d/1VLrjCisiaiRqSAoExNMKwOtQXGdWo2TW/view?usp=drivesdk</x:v>
      </x:c>
    </x:row>
    <x:row r="26" ht="112" customHeight="1">
      <x:c r="A26" s="28" t="str">
        <x:v>M020</x:v>
      </x:c>
      <x:c r="B26" s="28" t="str">
        <x:v>P1</x:v>
      </x:c>
      <x:c r="C26" s="28" t="str">
        <x:v>SMS</x:v>
      </x:c>
      <x:c r="D26" s="28" t="str">
        <x:v>Merchant configuration</x:v>
      </x:c>
      <x:c r="E26" s="28" t="str">
        <x:v>Make merchant identity, currency and receipt formats explicit validated configuration</x:v>
      </x:c>
      <x:c r="F26" s="28" t="str">
        <x:v>Not started</x:v>
      </x:c>
      <x:c r="G26" s="28"/>
      <x:c r="H26" s="28" t="str">
        <x:v>Payments operations + backend</x:v>
      </x:c>
      <x:c r="I26" s="28" t="str">
        <x:v>M</x:v>
      </x:c>
      <x:c r="J26" s="28" t="str">
        <x:v>Approved merchant/operator inventory</x:v>
      </x:c>
      <x:c r="K26" s="28" t="str">
        <x:v>Each enabled collector maps to approved merchant/account/operator/currency and parser fixtures; missing or wrong configuration blocks auto-credit with visible reason; no guessed merchant identifier.</x:v>
      </x:c>
      <x:c r="L26" s="28" t="str">
        <x:v>A missing merchant code can become a fabricated default, weakening invoice matching and auditability.</x:v>
      </x:c>
      <x:c r="M26" s="28" t="str">
        <x:v>supabase/migrations/20260906145000_subscription_receipt_integrity.sql; supabase/functions/_shared/momo-sms.ts; audit/backend_review.md B-03
Original source: https://drive.google.com/file/d/1VLrjCisiaiRqSAoExNMKwOtQXGdWo2TW/view?usp=drivesdk
https://drive.google.com/file/d/1jy2qeudD4ypMt6bl6SltIQwb3KGpece7/view?usp=drivesdk</x:v>
      </x:c>
    </x:row>
    <x:row r="27" ht="112" customHeight="1">
      <x:c r="A27" s="28" t="str">
        <x:v>M021</x:v>
      </x:c>
      <x:c r="B27" s="28" t="str">
        <x:v>P1</x:v>
      </x:c>
      <x:c r="C27" s="28" t="str">
        <x:v>Core</x:v>
      </x:c>
      <x:c r="D27" s="28" t="str">
        <x:v>Financial retries</x:v>
      </x:c>
      <x:c r="E27" s="28" t="str">
        <x:v>Use durable account-scoped wallet operation IDs and reconcile uncertain outcomes</x:v>
      </x:c>
      <x:c r="F27" s="28" t="str">
        <x:v>Not started</x:v>
      </x:c>
      <x:c r="G27" s="28"/>
      <x:c r="H27" s="28" t="str">
        <x:v>Flutter + backend</x:v>
      </x:c>
      <x:c r="I27" s="28" t="str">
        <x:v>M</x:v>
      </x:c>
      <x:c r="J27" s="28" t="str">
        <x:v>M003; M006; M054</x:v>
      </x:c>
      <x:c r="K27" s="28" t="str">
        <x:v>Response loss, process restart, account switch and failed storage retain correct operation identity or block unsafe retry; committed operation is discoverable; duplicate retry cannot charge twice.</x:v>
      </x:c>
      <x:c r="L27" s="28" t="str">
        <x:v>Existing keys omit owner identity, expose raw note in preference keys and ignore persistence failure; UI promises stronger retry safety.</x:v>
      </x:c>
      <x:c r="M27" s="28" t="str">
        <x:v>lib/features/profile/presentation/wallet_screen.dart:782-828; audit/flutter_review.md FL-13
Original source: https://drive.google.com/file/d/1LlppucPRV_7Kpp3kh07UDhWL39XAPyVI/view?usp=drivesdk</x:v>
      </x:c>
    </x:row>
    <x:row r="28" ht="112" customHeight="1">
      <x:c r="A28" s="28" t="str">
        <x:v>M022</x:v>
      </x:c>
      <x:c r="B28" s="28" t="str">
        <x:v>P1</x:v>
      </x:c>
      <x:c r="C28" s="28" t="str">
        <x:v>Paid transport</x:v>
      </x:c>
      <x:c r="D28" s="28" t="str">
        <x:v>Financial boundaries</x:v>
      </x:c>
      <x:c r="E28" s="28" t="str">
        <x:v>Specify and test refunds, cancellation, monetary precision and time boundaries</x:v>
      </x:c>
      <x:c r="F28" s="28" t="str">
        <x:v>Not started</x:v>
      </x:c>
      <x:c r="G28" s="28"/>
      <x:c r="H28" s="28" t="str">
        <x:v>Product + payments + backend</x:v>
      </x:c>
      <x:c r="I28" s="28" t="str">
        <x:v>M</x:v>
      </x:c>
      <x:c r="J28" s="28" t="str">
        <x:v>M017; M018; M019; M024</x:v>
      </x:c>
      <x:c r="K28" s="28" t="str">
        <x:v>Approved rules and tests cover invalid/zero/negative/large amounts, currency, timezone/day rollover, duplicate refund, cancellation after payment and reconciliation; no new settlement engine is introduced.</x:v>
      </x:c>
      <x:c r="L28" s="28" t="str">
        <x:v>Release needs a complete operating contract for already implemented paid booking/subscription/reward paths.</x:v>
      </x:c>
      <x:c r="M28" s="28" t="str">
        <x:v>audit/backend_review.md recommended tasks; docs/product/public_transport_tracking_booking_scope_2026-06-08.md; audit/privacy_review.md section 5
Original source: https://drive.google.com/file/d/11YYuUj98ZIEPP48aikNWMtWIGKOcwybM/view?usp=drivesdk</x:v>
      </x:c>
    </x:row>
    <x:row r="29" ht="112" customHeight="1">
      <x:c r="A29" s="28" t="str">
        <x:v>M023</x:v>
      </x:c>
      <x:c r="B29" s="28" t="str">
        <x:v>P1</x:v>
      </x:c>
      <x:c r="C29" s="28" t="str">
        <x:v>SMS</x:v>
      </x:c>
      <x:c r="D29" s="28" t="str">
        <x:v>Financial reconciliation</x:v>
      </x:c>
      <x:c r="E29" s="28" t="str">
        <x:v>Reconcile collector receipts, ingestion outcomes and activated invoices with operator records</x:v>
      </x:c>
      <x:c r="F29" s="28" t="str">
        <x:v>Not started</x:v>
      </x:c>
      <x:c r="G29" s="28"/>
      <x:c r="H29" s="28" t="str">
        <x:v>Payments operations + backend</x:v>
      </x:c>
      <x:c r="I29" s="28" t="str">
        <x:v>M</x:v>
      </x:c>
      <x:c r="J29" s="28" t="str">
        <x:v>M016; M028; M034</x:v>
      </x:c>
      <x:c r="K29" s="28" t="str">
        <x:v>Daily exception report reconciles eligible receipts, duplicate/rejected/quarantined cases and credits to trusted operator evidence; lost receipt/manual resolution is audited without permissive auto-match.</x:v>
      </x:c>
      <x:c r="L29" s="28" t="str">
        <x:v>A missed SMS broadcast, device failure or ambiguous match can otherwise silently deny or misapply a paid entitlement.</x:v>
      </x:c>
      <x:c r="M29" s="28" t="str">
        <x:v>apps/momobio_sms_bridge/app/src/main/java/com/momobio/app/SmsReceiver.kt; audit/platform_review.md PL-06; audit/backend_review.md B-03
Original source: https://drive.google.com/file/d/14Xk8YpNg33EJncxUz4ZFh08gXr_v_0gT/view?usp=drivesdk</x:v>
      </x:c>
    </x:row>
    <x:row r="30" ht="112" customHeight="1">
      <x:c r="A30" s="28" t="str">
        <x:v>M024</x:v>
      </x:c>
      <x:c r="B30" s="28" t="str">
        <x:v>P1</x:v>
      </x:c>
      <x:c r="C30" s="28" t="str">
        <x:v>Paid transport</x:v>
      </x:c>
      <x:c r="D30" s="28" t="str">
        <x:v>Operating authority</x:v>
      </x:c>
      <x:c r="E30" s="28" t="str">
        <x:v>Obtain a feature-specific payments/transport classification and responsibility decision</x:v>
      </x:c>
      <x:c r="F30" s="28" t="str">
        <x:v>Not started</x:v>
      </x:c>
      <x:c r="G30" s="28"/>
      <x:c r="H30" s="28" t="str">
        <x:v>Product lead + qualified Rwanda counsel</x:v>
      </x:c>
      <x:c r="I30" s="28" t="str">
        <x:v>M</x:v>
      </x:c>
      <x:c r="J30" s="28" t="str">
        <x:v>Feature and funds-flow draft; coordinate with refund design</x:v>
      </x:c>
      <x:c r="K30" s="28" t="str">
        <x:v>Current primary rules and actual funds flow support a written decision for each enabled paid feature; provider/agency contracts, responsible entity and customer promises are recorded; unresolved features stay disabled.</x:v>
      </x:c>
      <x:c r="L30" s="28" t="str">
        <x:v>Actual funds flow, merchant ownership, agency agreements, refunds and reward terms were not supplied; no licence conclusion was possible.</x:v>
      </x:c>
      <x:c r="M30" s="28" t="str">
        <x:v>audit/privacy_review.md section 5; docs/product/public_transport_tracking_booking_scope_2026-06-08.md
Original source: https://drive.google.com/file/d/11YYuUj98ZIEPP48aikNWMtWIGKOcwybM/view?usp=drivesdk</x:v>
      </x:c>
    </x:row>
    <x:row r="31" ht="112" customHeight="1">
      <x:c r="A31" s="28" t="str">
        <x:v>M025</x:v>
      </x:c>
      <x:c r="B31" s="28" t="str">
        <x:v>P1</x:v>
      </x:c>
      <x:c r="C31" s="28" t="str">
        <x:v>SMS</x:v>
      </x:c>
      <x:c r="D31" s="28" t="str">
        <x:v>Collector signing</x:v>
      </x:c>
      <x:c r="E31" s="28" t="str">
        <x:v>Replace debug-keystore operational packaging with a managed production signing/update path</x:v>
      </x:c>
      <x:c r="F31" s="28" t="str">
        <x:v>Not started</x:v>
      </x:c>
      <x:c r="G31" s="28"/>
      <x:c r="H31" s="28" t="str">
        <x:v>Android release + fleet operations</x:v>
      </x:c>
      <x:c r="I31" s="28" t="str">
        <x:v>M</x:v>
      </x:c>
      <x:c r="J31" s="28" t="str">
        <x:v>M002</x:v>
      </x:c>
      <x:c r="K31" s="28" t="str">
        <x:v>Distribution artifact uses approved managed signing; signature/version verified; enrolled request-signing identity and pending receipts survive supported updates or a documented controlled migration.</x:v>
      </x:c>
      <x:c r="L31" s="28" t="str">
        <x:v>device_uat.sh signs release output with the standard debug keystore; enrolled keys and queued receipts need a safe upgrade.</x:v>
      </x:c>
      <x:c r="M31" s="28" t="str">
        <x:v>apps/momobio_sms_bridge/scripts/device_uat.sh:69-76; apps/momobio_sms_bridge/app/build.gradle.kts; audit/platform_review.md PL-04
Original source: https://drive.google.com/file/d/1MLWnXsRSeoudgNb9hkGCqMeXVXFZumKJ/view?usp=drivesdk
https://drive.google.com/file/d/13unWV3K7o-vQdJnFfdpVzk5xZckDNc47/view?usp=drivesdk</x:v>
      </x:c>
    </x:row>
    <x:row r="32" ht="112" customHeight="1">
      <x:c r="A32" s="28" t="str">
        <x:v>M026</x:v>
      </x:c>
      <x:c r="B32" s="28" t="str">
        <x:v>P1</x:v>
      </x:c>
      <x:c r="C32" s="28" t="str">
        <x:v>SMS</x:v>
      </x:c>
      <x:c r="D32" s="28" t="str">
        <x:v>Collection minimization</x:v>
      </x:c>
      <x:c r="E32" s="28" t="str">
        <x:v>Filter eligible receipt data on-device and present a clear upload/AI-processing notice</x:v>
      </x:c>
      <x:c r="F32" s="28" t="str">
        <x:v>Not started</x:v>
      </x:c>
      <x:c r="G32" s="28"/>
      <x:c r="H32" s="28" t="str">
        <x:v>Android + privacy + payments</x:v>
      </x:c>
      <x:c r="I32" s="28" t="str">
        <x:v>M</x:v>
      </x:c>
      <x:c r="J32" s="28" t="str">
        <x:v>M020</x:v>
      </x:c>
      <x:c r="K32" s="28" t="str">
        <x:v>Unrelated sender/content fixtures never enter queue or network; notice explains purpose, recipients, retention and support before access; changed formats route to minimal controlled review without auto-credit.</x:v>
      </x:c>
      <x:c r="L32" s="28" t="str">
        <x:v>Receiver currently queues and uploads all new SMS before server filtering; dedicated private distribution does not justify unrelated collection.</x:v>
      </x:c>
      <x:c r="M32" s="28" t="str">
        <x:v>apps/momobio_sms_bridge/app/src/main/java/com/momobio/app/SmsReceiver.kt; SmsReceiptDecoder.kt; UploadClient.kt; audit/platform_review.md PL-05; audit/privacy_review.md PRIV-03
Original source: https://drive.google.com/file/d/14Xk8YpNg33EJncxUz4ZFh08gXr_v_0gT/view?usp=drivesdk</x:v>
      </x:c>
    </x:row>
    <x:row r="33" ht="112" customHeight="1">
      <x:c r="A33" s="28" t="str">
        <x:v>M027</x:v>
      </x:c>
      <x:c r="B33" s="28" t="str">
        <x:v>P1</x:v>
      </x:c>
      <x:c r="C33" s="28" t="str">
        <x:v>SMS</x:v>
      </x:c>
      <x:c r="D33" s="28" t="str">
        <x:v>Distribution policy</x:v>
      </x:c>
      <x:c r="E33" s="28" t="str">
        <x:v>Document private fleet distribution and obtain SMS/FGS approval if using public Play</x:v>
      </x:c>
      <x:c r="F33" s="28" t="str">
        <x:v>Not started</x:v>
      </x:c>
      <x:c r="G33" s="28"/>
      <x:c r="H33" s="28" t="str">
        <x:v>Android release + compliance</x:v>
      </x:c>
      <x:c r="I33" s="28" t="str">
        <x:v>S</x:v>
      </x:c>
      <x:c r="J33" s="28" t="str">
        <x:v>M025; M026</x:v>
      </x:c>
      <x:c r="K33" s="28" t="str">
        <x:v>Actual channel and authorized device population recorded; applicable Play exception/permission and foreground-service review evidence supplied before public distribution; private-policy claims match access controls.</x:v>
      </x:c>
      <x:c r="L33" s="28" t="str">
        <x:v>Bridge is documented in-house; public Play distribution would introduce restricted SMS permissions and declaration requirements.</x:v>
      </x:c>
      <x:c r="M33" s="28" t="str">
        <x:v>apps/momobio_sms_bridge/README.md; app/src/main/AndroidManifest.xml; https://support.google.com/googleplay/android-developer/answer/10208820; audit/platform_review.md PL-05
Original source: https://drive.google.com/file/d/1THqrvAz2dVb6sLK6RTD8BeIcaQEcY1pG/view?usp=drivesdk
https://drive.google.com/file/d/1qFn0W9M6GEXpT3ZhuSm-AyB38Qxnkqah/view?usp=drivesdk</x:v>
      </x:c>
    </x:row>
    <x:row r="34" ht="112" customHeight="1">
      <x:c r="A34" s="28" t="str">
        <x:v>M028</x:v>
      </x:c>
      <x:c r="B34" s="28" t="str">
        <x:v>P1</x:v>
      </x:c>
      <x:c r="C34" s="28" t="str">
        <x:v>SMS</x:v>
      </x:c>
      <x:c r="D34" s="28" t="str">
        <x:v>Durable queue</x:v>
      </x:c>
      <x:c r="E34" s="28" t="str">
        <x:v>Use a transactional bounded receipt queue with corruption quarantine and retained acknowledgement state</x:v>
      </x:c>
      <x:c r="F34" s="28" t="str">
        <x:v>Not started</x:v>
      </x:c>
      <x:c r="G34" s="28"/>
      <x:c r="H34" s="28" t="str">
        <x:v>Android + backend</x:v>
      </x:c>
      <x:c r="I34" s="28" t="str">
        <x:v>M</x:v>
      </x:c>
      <x:c r="J34" s="28" t="str">
        <x:v>M026</x:v>
      </x:c>
      <x:c r="K34" s="28" t="str">
        <x:v>Crash/restart/disk-full/corrupt-row and partial-ack tests preserve eligible records; bounded batches/age/bytes and dedupe retention verified; capacity alerts precede exhaustion; migration is lossless.</x:v>
      </x:c>
      <x:c r="L34" s="28" t="str">
        <x:v>Whole-queue preference JSON and unbounded hash history are fragile; malformed rows can disappear during a later save.</x:v>
      </x:c>
      <x:c r="M34" s="28" t="str">
        <x:v>apps/momobio_sms_bridge/app/src/main/java/com/momobio/app/SmsQueue.kt; audit/platform_review.md PL-06; audit/privacy_review.md PRIV-08
Original source: https://drive.google.com/file/d/1-yEWiItXERM_jmBtgePmT13WZUNUb0g-/view?usp=drivesdk</x:v>
      </x:c>
    </x:row>
    <x:row r="35" ht="112" customHeight="1">
      <x:c r="A35" s="28" t="str">
        <x:v>M029</x:v>
      </x:c>
      <x:c r="B35" s="28" t="str">
        <x:v>P1</x:v>
      </x:c>
      <x:c r="C35" s="28" t="str">
        <x:v>SMS</x:v>
      </x:c>
      <x:c r="D35" s="28" t="str">
        <x:v>Retry coordination</x:v>
      </x:c>
      <x:c r="E35" s="28" t="str">
        <x:v>Centralize collector work leasing, backoff and response handling</x:v>
      </x:c>
      <x:c r="F35" s="28" t="str">
        <x:v>Not started</x:v>
      </x:c>
      <x:c r="G35" s="28"/>
      <x:c r="H35" s="28" t="str">
        <x:v>Android + backend</x:v>
      </x:c>
      <x:c r="I35" s="28" t="str">
        <x:v>M</x:v>
      </x:c>
      <x:c r="J35" s="28" t="str">
        <x:v>M028</x:v>
      </x:c>
      <x:c r="K35" s="28" t="str">
        <x:v>One shared batch lease prevents concurrent uploads; bounded jitter/backoff handles 429/503/network loss; each attempt retains fresh nonce/signature; partial-success retries cannot duplicate credits.</x:v>
      </x:c>
      <x:c r="L35" s="28" t="str">
        <x:v>UI, service and WorkManager retries can compete; per-instance flags do not coordinate work or honor Retry-After.</x:v>
      </x:c>
      <x:c r="M35" s="28" t="str">
        <x:v>apps/momobio_sms_bridge/app/src/main/java/com/momobio/app/BridgeSupervisor.kt; BridgeForegroundService.kt; BridgeSyncWorker.kt; UploadClient.kt; audit/platform_review.md PL-07
Original source: https://drive.google.com/file/d/1TCLP0gLC0lyCHAF9vvir7CxcwCzRi3Ob/view?usp=drivesdk</x:v>
      </x:c>
    </x:row>
    <x:row r="36" ht="112" customHeight="1">
      <x:c r="A36" s="28" t="str">
        <x:v>M030</x:v>
      </x:c>
      <x:c r="B36" s="28" t="str">
        <x:v>P1</x:v>
      </x:c>
      <x:c r="C36" s="28" t="str">
        <x:v>SMS</x:v>
      </x:c>
      <x:c r="D36" s="28" t="str">
        <x:v>Collector lifecycle</x:v>
      </x:c>
      <x:c r="E36" s="28" t="str">
        <x:v>Verify boot, force-stop, OEM battery and Android job-quota behavior on managed devices</x:v>
      </x:c>
      <x:c r="F36" s="28" t="str">
        <x:v>Not started</x:v>
      </x:c>
      <x:c r="G36" s="28"/>
      <x:c r="H36" s="28" t="str">
        <x:v>Android QA + fleet operations</x:v>
      </x:c>
      <x:c r="I36" s="28" t="str">
        <x:v>M</x:v>
      </x:c>
      <x:c r="J36" s="28" t="str">
        <x:v>M025; M028; M029</x:v>
      </x:c>
      <x:c r="K36" s="28" t="str">
        <x:v>Real fleet models pass reboot/update/offline/process-death/Doze/restricted-permission cases; force-stop and OEM limitations are visible with reconciliation instructions; no fictitious always-on guarantee.</x:v>
      </x:c>
      <x:c r="L36" s="28" t="str">
        <x:v>WorkManager and foreground services do not guarantee timely capture under every device state; receipt history is not reread.</x:v>
      </x:c>
      <x:c r="M36" s="28" t="str">
        <x:v>apps/momobio_sms_bridge/app/src/main/java/com/momobio/app/BridgeBootReceiver.kt; audit/platform_review.md device matrix; https://developer.android.com/about/versions/16/behavior-changes-all
Original source: https://drive.google.com/file/d/1SOpL0EkATxERvbJo2lw_eXGk2mIefSgp/view?usp=drivesdk</x:v>
      </x:c>
    </x:row>
    <x:row r="37" ht="112" customHeight="1">
      <x:c r="A37" s="28" t="str">
        <x:v>M031</x:v>
      </x:c>
      <x:c r="B37" s="28" t="str">
        <x:v>P1</x:v>
      </x:c>
      <x:c r="C37" s="28" t="str">
        <x:v>SMS</x:v>
      </x:c>
      <x:c r="D37" s="28" t="str">
        <x:v>Legacy ingest authority</x:v>
      </x:c>
      <x:c r="E37" s="28" t="str">
        <x:v>Inventory deployed legacy SMS callers and retire or harden shared-secret ingest aliases</x:v>
      </x:c>
      <x:c r="F37" s="28" t="str">
        <x:v>Not started</x:v>
      </x:c>
      <x:c r="G37" s="28"/>
      <x:c r="H37" s="28" t="str">
        <x:v>Backend + security + operations</x:v>
      </x:c>
      <x:c r="I37" s="28" t="str">
        <x:v>M</x:v>
      </x:c>
      <x:c r="J37" s="28" t="str">
        <x:v>M016; M029</x:v>
      </x:c>
      <x:c r="K37" s="28" t="str">
        <x:v>Deployed endpoint/caller inventory complete; unused routes return a controlled retirement response; retained routes use registered collector authority, replay/body/rate bounds and monitored migration.</x:v>
      </x:c>
      <x:c r="L37" s="28" t="str">
        <x:v>parse-sms and reconcile-momo-sms preserve older global-secret paths without per-collector replay/revocation controls.</x:v>
      </x:c>
      <x:c r="M37" s="28" t="str">
        <x:v>supabase/functions/parse-sms/index.ts:22-42; supabase/functions/reconcile-momo-sms/index.ts:22-42; audit/backend_review.md B-08
Original source: https://drive.google.com/file/d/1snmFTu4PpKv7cY09FBswSVfAuSWoy_-f/view?usp=drivesdk
https://drive.google.com/file/d/1Q_gKdjfTVAO5JjxLkfYPMHPt1hfo1vtr/view?usp=drivesdk</x:v>
      </x:c>
    </x:row>
    <x:row r="38" ht="112" customHeight="1">
      <x:c r="A38" s="28" t="str">
        <x:v>M032</x:v>
      </x:c>
      <x:c r="B38" s="28" t="str">
        <x:v>P1</x:v>
      </x:c>
      <x:c r="C38" s="28" t="str">
        <x:v>SMS</x:v>
      </x:c>
      <x:c r="D38" s="28" t="str">
        <x:v>Backend intake</x:v>
      </x:c>
      <x:c r="E38" s="28" t="str">
        <x:v>Persist authenticated receipt admission before asynchronous parsing and allocation</x:v>
      </x:c>
      <x:c r="F38" s="28" t="str">
        <x:v>Not started</x:v>
      </x:c>
      <x:c r="G38" s="28"/>
      <x:c r="H38" s="28" t="str">
        <x:v>Backend + SRE</x:v>
      </x:c>
      <x:c r="I38" s="28" t="str">
        <x:v>M</x:v>
      </x:c>
      <x:c r="J38" s="28" t="str">
        <x:v>M016; M028; M029</x:v>
      </x:c>
      <x:c r="K38" s="28" t="str">
        <x:v>Durable per-message intake/outcome identity; bounded worker with leases/retry/dead-letter handling; crash after first item or lost final acknowledgement yields one financial effect and reproducible status.</x:v>
      </x:c>
      <x:c r="L38" s="28" t="str">
        <x:v>Sequential AI/SQL processing can partially commit a batch then return a transient failure; repeat parsing increases cost and uncertainty.</x:v>
      </x:c>
      <x:c r="M38" s="28" t="str">
        <x:v>supabase/functions/momobio-sms-ingest/index.ts; audit/backend_review.md collector strengths and partial-batch risk
Original source: https://drive.google.com/file/d/1ABtcrIk1N1ve9MSKEpHlyDgu4FLI8yKi/view?usp=drivesdk</x:v>
      </x:c>
    </x:row>
    <x:row r="39" ht="112" customHeight="1">
      <x:c r="A39" s="28" t="str">
        <x:v>M033</x:v>
      </x:c>
      <x:c r="B39" s="28" t="str">
        <x:v>P1</x:v>
      </x:c>
      <x:c r="C39" s="28" t="str">
        <x:v>SMS</x:v>
      </x:c>
      <x:c r="D39" s="28" t="str">
        <x:v>Fleet security</x:v>
      </x:c>
      <x:c r="E39" s="28" t="str">
        <x:v>Establish dedicated institutional devices/SIMs, enrollment, revocation and replacement procedures</x:v>
      </x:c>
      <x:c r="F39" s="28" t="str">
        <x:v>Not started</x:v>
      </x:c>
      <x:c r="G39" s="28"/>
      <x:c r="H39" s="28" t="str">
        <x:v>Fleet operations + security</x:v>
      </x:c>
      <x:c r="I39" s="28" t="str">
        <x:v>M</x:v>
      </x:c>
      <x:c r="J39" s="28" t="str">
        <x:v>M025; M026; M027</x:v>
      </x:c>
      <x:c r="K39" s="28" t="str">
        <x:v>Named custodians and inventory; dedicated SIM restriction, screen/device protection, enrollment approval, lost-device revocation, replacement/export policy and staff training rehearsed with no personal-SMS collection.</x:v>
      </x:c>
      <x:c r="L39" s="28" t="str">
        <x:v>Financial SMS and enrolled collector authority need controlled hardware ownership and incident handling.</x:v>
      </x:c>
      <x:c r="M39" s="28" t="str">
        <x:v>apps/momobio_sms_bridge/README.md; audit/privacy_review.md PR-T06; audit/platform_review.md PL-04 to PL-07
Original source: https://drive.google.com/file/d/1THqrvAz2dVb6sLK6RTD8BeIcaQEcY1pG/view?usp=drivesdk
https://drive.google.com/file/d/1qFn0W9M6GEXpT3ZhuSm-AyB38Qxnkqah/view?usp=drivesdk</x:v>
      </x:c>
    </x:row>
    <x:row r="40" ht="112" customHeight="1">
      <x:c r="A40" s="28" t="str">
        <x:v>M034</x:v>
      </x:c>
      <x:c r="B40" s="28" t="str">
        <x:v>P1</x:v>
      </x:c>
      <x:c r="C40" s="28" t="str">
        <x:v>SMS</x:v>
      </x:c>
      <x:c r="D40" s="28" t="str">
        <x:v>Collector health</x:v>
      </x:c>
      <x:c r="E40" s="28" t="str">
        <x:v>Expose truthful enrolled/configured/connected/acknowledged state and backlog age</x:v>
      </x:c>
      <x:c r="F40" s="28" t="str">
        <x:v>Not started</x:v>
      </x:c>
      <x:c r="G40" s="28"/>
      <x:c r="H40" s="28" t="str">
        <x:v>Android + operations</x:v>
      </x:c>
      <x:c r="I40" s="28" t="str">
        <x:v>M</x:v>
      </x:c>
      <x:c r="J40" s="28" t="str">
        <x:v>M028; M029; M032</x:v>
      </x:c>
      <x:c r="K40" s="28" t="str">
        <x:v>Missing config, expired/revoked key, denied permission and server outage have distinct states; last successful server acknowledgement and oldest eligible receipt are visible and alertable.</x:v>
      </x:c>
      <x:c r="L40" s="28" t="str">
        <x:v>Empty queues can report success before configuration is checked and UI may show Running without a usable enrolled backend.</x:v>
      </x:c>
      <x:c r="M40" s="28" t="str">
        <x:v>apps/momobio_sms_bridge/app/src/main/java/com/momobio/app/MainActivity.kt; UploadClient.kt; audit/platform_review.md PL-07
Original source: https://drive.google.com/file/d/1VaIxl4s-bYjAbwW0zj8QP29_x09Ag4sb/view?usp=drivesdk</x:v>
      </x:c>
    </x:row>
    <x:row r="41" ht="112" customHeight="1">
      <x:c r="A41" s="28" t="str">
        <x:v>M035</x:v>
      </x:c>
      <x:c r="B41" s="28" t="str">
        <x:v>P1</x:v>
      </x:c>
      <x:c r="C41" s="28" t="str">
        <x:v>Face</x:v>
      </x:c>
      <x:c r="D41" s="28" t="str">
        <x:v>Face release policy</x:v>
      </x:c>
      <x:c r="E41" s="28" t="str">
        <x:v>Keep Face-USSD disabled until exact current scope is accepted and health surfaces agree</x:v>
      </x:c>
      <x:c r="F41" s="28" t="str">
        <x:v>Not started</x:v>
      </x:c>
      <x:c r="G41" s="28"/>
      <x:c r="H41" s="28" t="str">
        <x:v>Product + backend + release</x:v>
      </x:c>
      <x:c r="I41" s="28" t="str">
        <x:v>M</x:v>
      </x:c>
      <x:c r="J41" s="28" t="str">
        <x:v>M036; M037; M038; M039; M040; M067; M068</x:v>
      </x:c>
      <x:c r="K41" s="28" t="str">
        <x:v>One versioned decision binds approved no-liveness recipient lookup, model/policy/index and health semantics; enablement requires acceptance; manual/QR alternatives remain usable; dialer launch never means settlement.</x:v>
      </x:c>
      <x:c r="L41" s="28" t="str">
        <x:v>September policy is intentionally disabled/unthresholded; older admin status still hardcodes not-ready and historical AWS requirements are superseded.</x:v>
      </x:c>
      <x:c r="M41" s="28" t="str">
        <x:v>docs/product/face-ussd-20260920/APPROVAL.md; supabase/migrations/20260920150000_biopay_face_shortcut.sql; audit/validation_review.md section 2
Original source: https://drive.google.com/file/d/1xop9aCYCPDg70qLFnM9fyHhWzGvx-Vc1/view?usp=drivesdk
https://drive.google.com/file/d/1Ql7MVmCXqbgiB8DwU11kDXAjNmRtYF-k/view?usp=drivesdk</x:v>
      </x:c>
    </x:row>
    <x:row r="42" ht="112" customHeight="1">
      <x:c r="A42" s="28" t="str">
        <x:v>M036</x:v>
      </x:c>
      <x:c r="B42" s="28" t="str">
        <x:v>P1</x:v>
      </x:c>
      <x:c r="C42" s="28" t="str">
        <x:v>Face</x:v>
      </x:c>
      <x:c r="D42" s="28" t="str">
        <x:v>Inference artifact</x:v>
      </x:c>
      <x:c r="E42" s="28" t="str">
        <x:v>Build and verify the exact Linux inference image, models and private service bindings</x:v>
      </x:c>
      <x:c r="F42" s="28" t="str">
        <x:v>Not started</x:v>
      </x:c>
      <x:c r="G42" s="28"/>
      <x:c r="H42" s="28" t="str">
        <x:v>Platform + ML engineer</x:v>
      </x:c>
      <x:c r="I42" s="28" t="str">
        <x:v>M</x:v>
      </x:c>
      <x:c r="J42" s="28" t="str">
        <x:v>M077; M082</x:v>
      </x:c>
      <x:c r="K42" s="28" t="str">
        <x:v>Immutable image/model digests and licences recorded; real health/embed tests pass in Linux container; Worker authentication, private binding, index dimension/version and environment isolation verified.</x:v>
      </x:c>
      <x:c r="L42" s="28" t="str">
        <x:v>Historical implementation report did not complete the Docker image or production model deployment.</x:v>
      </x:c>
      <x:c r="M42" s="28" t="str">
        <x:v>services/face-inference/Dockerfile; cloudflare/face-service/wrangler.jsonc; docs/product/face-ussd-20260920/IMPLEMENTATION_REPORT.md; audit/operations_review.md OPS-04
Original source: https://drive.google.com/file/d/13toaULZ0qSRF3mcOySrbey9WeHRMSidj/view?usp=drivesdk
https://drive.google.com/file/d/10XfUXtvPdRtBHiWA9yhRro_v6glk8XvJ/view?usp=drivesdk</x:v>
      </x:c>
    </x:row>
    <x:row r="43" ht="112" customHeight="1">
      <x:c r="A43" s="28" t="str">
        <x:v>M037</x:v>
      </x:c>
      <x:c r="B43" s="28" t="str">
        <x:v>P1</x:v>
      </x:c>
      <x:c r="C43" s="28" t="str">
        <x:v>Face</x:v>
      </x:c>
      <x:c r="D43" s="28" t="str">
        <x:v>Deployment contracts</x:v>
      </x:c>
      <x:c r="E43" s="28" t="str">
        <x:v>Rehearse latest face migrations, PostgREST/Edge, Vault and scheduled maintenance together</x:v>
      </x:c>
      <x:c r="F43" s="28" t="str">
        <x:v>Not started</x:v>
      </x:c>
      <x:c r="G43" s="28"/>
      <x:c r="H43" s="28" t="str">
        <x:v>Backend + platform + database QA</x:v>
      </x:c>
      <x:c r="I43" s="28" t="str">
        <x:v>M</x:v>
      </x:c>
      <x:c r="J43" s="28" t="str">
        <x:v>M036; M078</x:v>
      </x:c>
      <x:c r="K43" s="28" t="str">
        <x:v>Full-schema rehearsal verifies exact RPC argument/privilege/session contract; deployment history, secrets presence and scheduled execution read back; activation and deletion converge after provider interruption.</x:v>
      </x:c>
      <x:c r="L43" s="28" t="str">
        <x:v>Source health checks and cleanup implementations do not establish target schema parity or an executing maintenance schedule.</x:v>
      </x:c>
      <x:c r="M43" s="28" t="str">
        <x:v>supabase/migrations/20260920150000_biopay_face_shortcut.sql; supabase/functions/biopay-face-provider/index.ts; docs/operations/face-ussd-runbook.md; audit/operations_review.md O05,O08
Original source: https://drive.google.com/file/d/1xop9aCYCPDg70qLFnM9fyHhWzGvx-Vc1/view?usp=drivesdk
https://drive.google.com/file/d/1rDo-iJSUPd_QhiakftQOghMtlmsk2P6S/view?usp=drivesdk</x:v>
      </x:c>
    </x:row>
    <x:row r="44" ht="112" customHeight="1">
      <x:c r="A44" s="28" t="str">
        <x:v>M038</x:v>
      </x:c>
      <x:c r="B44" s="28" t="str">
        <x:v>P1</x:v>
      </x:c>
      <x:c r="C44" s="28" t="str">
        <x:v>Face</x:v>
      </x:c>
      <x:c r="D44" s="28" t="str">
        <x:v>Matching acceptance</x:v>
      </x:c>
      <x:c r="E44" s="28" t="str">
        <x:v>Calibrate and independently accept matching thresholds and cross-owner margins</x:v>
      </x:c>
      <x:c r="F44" s="28" t="str">
        <x:v>Not started</x:v>
      </x:c>
      <x:c r="G44" s="28"/>
      <x:c r="H44" s="28" t="str">
        <x:v>ML QA + product + privacy</x:v>
      </x:c>
      <x:c r="I44" s="28" t="str">
        <x:v>L</x:v>
      </x:c>
      <x:c r="J44" s="28" t="str">
        <x:v>M036; M067; M068</x:v>
      </x:c>
      <x:c r="K44" s="28" t="str">
        <x:v>Pre-agreed error/latency criteria; held-out consented cohort covering lighting, skin tones, age and devices; report denominators, gallery size, uncertainty and thresholds/model hash; ambiguous matches fail safely.</x:v>
      </x:c>
      <x:c r="L44" s="28" t="str">
        <x:v>No consented held-out cohort or gallery-scale false-match/false-nonmatch evidence was established for the active SFace path.</x:v>
      </x:c>
      <x:c r="M44" s="28" t="str">
        <x:v>services/face-inference/inference.py; cloudflare/face-service/src/handler.ts; docs/product/face-ussd-20260920/IMPLEMENTATION_REPORT.md; audit/operations_review.md OPS-04
Original source: https://drive.google.com/file/d/13toaULZ0qSRF3mcOySrbey9WeHRMSidj/view?usp=drivesdk
https://drive.google.com/file/d/1ZMe2Z6-28lqVhf4GD24uS02hOaPsgsYZ/view?usp=drivesdk</x:v>
      </x:c>
    </x:row>
    <x:row r="45" ht="112" customHeight="1">
      <x:c r="A45" s="28" t="str">
        <x:v>M039</x:v>
      </x:c>
      <x:c r="B45" s="28" t="str">
        <x:v>P1</x:v>
      </x:c>
      <x:c r="C45" s="28" t="str">
        <x:v>Face</x:v>
      </x:c>
      <x:c r="D45" s="28" t="str">
        <x:v>Biometric deletion</x:v>
      </x:c>
      <x:c r="E45" s="28" t="str">
        <x:v>Exercise pause/remove/replacement and delayed-upsert cleanup end to end</x:v>
      </x:c>
      <x:c r="F45" s="28" t="str">
        <x:v>Not started</x:v>
      </x:c>
      <x:c r="G45" s="28"/>
      <x:c r="H45" s="28" t="str">
        <x:v>Backend QA + privacy + operations</x:v>
      </x:c>
      <x:c r="I45" s="28" t="str">
        <x:v>M</x:v>
      </x:c>
      <x:c r="J45" s="28" t="str">
        <x:v>M036; M037</x:v>
      </x:c>
      <x:c r="K45" s="28" t="str">
        <x:v>Immediate discovery exclusion plus eventual verified vector absence; cancellation, replacement, delayed insert, provider outage and restored-backup cases pass; cleanup owner/SLA and tombstone retention approved.</x:v>
      </x:c>
      <x:c r="L45" s="28" t="str">
        <x:v>SQL exclusion and retryable vector cleanup exist but observed external absence and production cleanup SLA are not proven.</x:v>
      </x:c>
      <x:c r="M45" s="28" t="str">
        <x:v>docs/operations/face-ussd-runbook.md; supabase/functions/biopay-face-maintenance; audit/privacy_review.md PR-T10; audit/validation_review.md section 2
Original source: https://drive.google.com/drive/folders/1Yd3ushY1JBVNcm_zloDSgVpLwQt-k867
https://drive.google.com/file/d/1vZVjzSVzBGDPvEDyH5wTO996VJbSCDGt/view?usp=drivesdk</x:v>
      </x:c>
    </x:row>
    <x:row r="46" ht="112" customHeight="1">
      <x:c r="A46" s="28" t="str">
        <x:v>M040</x:v>
      </x:c>
      <x:c r="B46" s="28" t="str">
        <x:v>P1</x:v>
      </x:c>
      <x:c r="C46" s="28" t="str">
        <x:v>Face</x:v>
      </x:c>
      <x:c r="D46" s="28" t="str">
        <x:v>Camera-to-USSD acceptance</x:v>
      </x:c>
      <x:c r="E46" s="28" t="str">
        <x:v>Run physical-device face capture through one correct operator dialer handoff</x:v>
      </x:c>
      <x:c r="F46" s="28" t="str">
        <x:v>Not started</x:v>
      </x:c>
      <x:c r="G46" s="28"/>
      <x:c r="H46" s="28" t="str">
        <x:v>Mobile QA + operator liaison</x:v>
      </x:c>
      <x:c r="I46" s="28" t="str">
        <x:v>M</x:v>
      </x:c>
      <x:c r="J46" s="28" t="str">
        <x:v>M036; M037; M038; M046; M051</x:v>
      </x:c>
      <x:c r="K46" s="28" t="str">
        <x:v>Selected receiving method/number resolves correctly; changed/paused payee, timeout, interruption, cancellation, restart, dual-SIM and denial cases pass; one amount-free Android handoff; iOS fallback is clear.</x:v>
      </x:c>
      <x:c r="L46" s="28" t="str">
        <x:v>Lifecycle and at-most-once safeguards are strong in source, but current build/operator/dual-SIM evidence was not executed.</x:v>
      </x:c>
      <x:c r="M46" s="28" t="str">
        <x:v>lib/features/biopay/presentation/biopay_face_scan_screen.dart; lib/features/biopay/domain/face_shortcut.dart; android/app/src/main/kotlin; audit/flutter_review.md strengths; audit/platform_review.md
Original source: https://drive.google.com/file/d/1VQx1_L_ad_B0ir4GoXgkwo9Em7fVeaMh/view?usp=drivesdk
https://drive.google.com/file/d/1FpuSdHRpxtU6abvwywD3Q0WKOZWat9ma/view?usp=drivesdk</x:v>
      </x:c>
    </x:row>
    <x:row r="47" ht="112" customHeight="1">
      <x:c r="A47" s="28" t="str">
        <x:v>M041</x:v>
      </x:c>
      <x:c r="B47" s="28" t="str">
        <x:v>P1</x:v>
      </x:c>
      <x:c r="C47" s="28" t="str">
        <x:v>Face</x:v>
      </x:c>
      <x:c r="D47" s="28" t="str">
        <x:v>Launch capacity</x:v>
      </x:c>
      <x:c r="E47" s="28" t="str">
        <x:v>Measure cold/warm latency, burst admission and regional network performance at the launch workload</x:v>
      </x:c>
      <x:c r="F47" s="28" t="str">
        <x:v>Not started</x:v>
      </x:c>
      <x:c r="G47" s="28"/>
      <x:c r="H47" s="28" t="str">
        <x:v>Performance + platform + ML</x:v>
      </x:c>
      <x:c r="I47" s="28" t="str">
        <x:v>M</x:v>
      </x:c>
      <x:c r="J47" s="28" t="str">
        <x:v>M036; M038</x:v>
      </x:c>
      <x:c r="K47" s="28" t="str">
        <x:v>Approved workload and p95/error budget met from target Rwandan networks; report busy/cold-start/index latency/memory/CPU; bounded capacity and safe retry decisions use results rather than autoscaling assumptions.</x:v>
      </x:c>
      <x:c r="L47" s="28" t="str">
        <x:v>Single serialized container and repeated index compatibility calls impose an unmeasured capacity limit.</x:v>
      </x:c>
      <x:c r="M47" s="28" t="str">
        <x:v>cloudflare/face-service/wrangler.jsonc:9; src/handler.ts:90-165; services/face-inference/inference.py:32-88; audit/operations_review.md OPS-05
Original source: https://drive.google.com/file/d/10XfUXtvPdRtBHiWA9yhRro_v6glk8XvJ/view?usp=drivesdk
https://drive.google.com/file/d/140d2FVWo8zH96uUG9K55Svsd5twTSLzR/view?usp=drivesdk</x:v>
      </x:c>
    </x:row>
    <x:row r="48" ht="112" customHeight="1">
      <x:c r="A48" s="28" t="str">
        <x:v>M042</x:v>
      </x:c>
      <x:c r="B48" s="28" t="str">
        <x:v>P2</x:v>
      </x:c>
      <x:c r="C48" s="28" t="str">
        <x:v>Face</x:v>
      </x:c>
      <x:c r="D48" s="28" t="str">
        <x:v>Inference serving</x:v>
      </x:c>
      <x:c r="E48" s="28" t="str">
        <x:v>Use bounded production HTTP serving with graceful drain and failure limits</x:v>
      </x:c>
      <x:c r="F48" s="28" t="str">
        <x:v>Not started</x:v>
      </x:c>
      <x:c r="G48" s="28"/>
      <x:c r="H48" s="28" t="str">
        <x:v>Backend + platform</x:v>
      </x:c>
      <x:c r="I48" s="28" t="str">
        <x:v>M</x:v>
      </x:c>
      <x:c r="J48" s="28" t="str">
        <x:v>M036; M041</x:v>
      </x:c>
      <x:c r="K48" s="28" t="str">
        <x:v>Saturation, slow/truncated/oversized body, concurrent request, termination during inference and restart tests pass; no raw payload logs or arbitrary URL fetch; concurrency and deadlines remain bounded.</x:v>
      </x:c>
      <x:c r="L48" s="28" t="str">
        <x:v>ThreadingHTTPServer lacks a bounded serving pool and graceful process drain; private binding reduces exposure but does not prove robust serving.</x:v>
      </x:c>
      <x:c r="M48" s="28" t="str">
        <x:v>services/face-inference/server.py:1,35; audit/operations_review.md OPS-09; https://docs.python.org/3.12/library/http.server.html
Original source: https://drive.google.com/file/d/1UjDIz7n8Uk4OhFXYNLmB3vShd_P1ziTY/view?usp=drivesdk</x:v>
      </x:c>
    </x:row>
    <x:row r="49" ht="112" customHeight="1">
      <x:c r="A49" s="28" t="str">
        <x:v>M043</x:v>
      </x:c>
      <x:c r="B49" s="28" t="str">
        <x:v>P1</x:v>
      </x:c>
      <x:c r="C49" s="28" t="str">
        <x:v>Face</x:v>
      </x:c>
      <x:c r="D49" s="28" t="str">
        <x:v>Face state consistency</x:v>
      </x:c>
      <x:c r="E49" s="28" t="str">
        <x:v>Test cross-system enrollment/lookup races and fail-closed identity transitions</x:v>
      </x:c>
      <x:c r="F49" s="28" t="str">
        <x:v>Not started</x:v>
      </x:c>
      <x:c r="G49" s="28"/>
      <x:c r="H49" s="28" t="str">
        <x:v>Backend + Flutter QA</x:v>
      </x:c>
      <x:c r="I49" s="28" t="str">
        <x:v>M</x:v>
      </x:c>
      <x:c r="J49" s="28" t="str">
        <x:v>M037; M039; M055</x:v>
      </x:c>
      <x:c r="K49" s="28" t="str">
        <x:v>Concurrent enrollment/replacement, account switch, consent withdrawal, route change, expired ticket, model mismatch and ambiguous result cannot produce a stale payee handoff; retries preserve at-most-once semantics.</x:v>
      </x:c>
      <x:c r="L49" s="28" t="str">
        <x:v>Vector availability, SQL consent/owner/method state and client ticket state must agree despite asynchronous work.</x:v>
      </x:c>
      <x:c r="M49" s="28" t="str">
        <x:v>lib/features/biopay/domain/face_shortcut.dart; supabase/migrations/20260920150000_biopay_face_shortcut.sql; cloudflare/face-service/src/handler.ts; audit/flutter_review.md
Original source: https://drive.google.com/file/d/1xop9aCYCPDg70qLFnM9fyHhWzGvx-Vc1/view?usp=drivesdk
https://drive.google.com/file/d/1FpuSdHRpxtU6abvwywD3Q0WKOZWat9ma/view?usp=drivesdk</x:v>
      </x:c>
    </x:row>
    <x:row r="50" ht="112" customHeight="1">
      <x:c r="A50" s="28" t="str">
        <x:v>M044</x:v>
      </x:c>
      <x:c r="B50" s="28" t="str">
        <x:v>P1</x:v>
      </x:c>
      <x:c r="C50" s="28" t="str">
        <x:v>Core</x:v>
      </x:c>
      <x:c r="D50" s="28" t="str">
        <x:v>Android release</x:v>
      </x:c>
      <x:c r="E50" s="28" t="str">
        <x:v>Target API 36 and verify Android 16 behavior for the consumer release</x:v>
      </x:c>
      <x:c r="F50" s="28" t="str">
        <x:v>Not started</x:v>
      </x:c>
      <x:c r="G50" s="28"/>
      <x:c r="H50" s="28" t="str">
        <x:v>Android + Flutter + QA</x:v>
      </x:c>
      <x:c r="I50" s="28" t="str">
        <x:v>M</x:v>
      </x:c>
      <x:c r="J50" s="28" t="str">
        <x:v>M074; M077</x:v>
      </x:c>
      <x:c r="K50" s="28" t="str">
        <x:v>Release manifest confirms target36; edge-to-edge, predictive back, large-screen layouts, foreground services and permissions pass; actual Play preflight/extension status recorded separately from existing-app availability.</x:v>
      </x:c>
      <x:c r="L50" s="28" t="str">
        <x:v>Main app compiles with 36 but targets 35; current Play new/update submission requirement is 36 from 2026-08-31, absent a verified extension.</x:v>
      </x:c>
      <x:c r="M50" s="28" t="str">
        <x:v>android/app/build.gradle.kts; https://support.google.com/googleplay/android-developer/answer/11926878?hl=en; https://developer.android.com/about/versions/16/behavior-changes-16; audit/platform_review.md PL-02
Original source: https://drive.google.com/file/d/1v5ftCzLKueY28L_0UpgcByPB0Hc4qHF5/view?usp=drivesdk</x:v>
      </x:c>
    </x:row>
    <x:row r="51" ht="112" customHeight="1">
      <x:c r="A51" s="28" t="str">
        <x:v>M045</x:v>
      </x:c>
      <x:c r="B51" s="28" t="str">
        <x:v>P1</x:v>
      </x:c>
      <x:c r="C51" s="28" t="str">
        <x:v>Core</x:v>
      </x:c>
      <x:c r="D51" s="28" t="str">
        <x:v>Android native libraries</x:v>
      </x:c>
      <x:c r="E51" s="28" t="str">
        <x:v>Verify every shipped native library and release package on 16 KB pages</x:v>
      </x:c>
      <x:c r="F51" s="28" t="str">
        <x:v>Not started</x:v>
      </x:c>
      <x:c r="G51" s="28"/>
      <x:c r="H51" s="28" t="str">
        <x:v>Android release + QA</x:v>
      </x:c>
      <x:c r="I51" s="28" t="str">
        <x:v>M</x:v>
      </x:c>
      <x:c r="J51" s="28" t="str">
        <x:v>M044; M081</x:v>
      </x:c>
      <x:c r="K51" s="28" t="str">
        <x:v>Inspect exact AAB/APKs and ELF/RELRO alignment, run zip alignment checks, install and exercise native/camera paths on 16 KB device/emulator; retain artifact evidence before 2027-02-01 update enforcement.</x:v>
      </x:c>
      <x:c r="L51" s="28" t="str">
        <x:v>Modern AGP supports packaging but does not prove all Flutter/plugin prebuilts and ELF segments comply. The current Play requirement concerns API35+ apps on 64-bit devices.</x:v>
      </x:c>
      <x:c r="M51" s="28" t="str">
        <x:v>android/settings.gradle.kts; android/app/build.gradle.kts; https://developer.android.com/guide/practices/page-sizes; audit/platform_review.md PL-09
Original source: https://drive.google.com/file/d/1v5ftCzLKueY28L_0UpgcByPB0Hc4qHF5/view?usp=drivesdk
https://drive.google.com/file/d/1Cr3nlB2FWbztO4CXBBZMibfRduyk2Rfa/view?usp=drivesdk</x:v>
      </x:c>
    </x:row>
    <x:row r="52" ht="112" customHeight="1">
      <x:c r="A52" s="28" t="str">
        <x:v>M046</x:v>
      </x:c>
      <x:c r="B52" s="28" t="str">
        <x:v>P1</x:v>
      </x:c>
      <x:c r="C52" s="28" t="str">
        <x:v>Core</x:v>
      </x:c>
      <x:c r="D52" s="28" t="str">
        <x:v>iOS release</x:v>
      </x:c>
      <x:c r="E52" s="28" t="str">
        <x:v>Produce a signed Xcode 26+ archive and verify production entitlements/device behavior</x:v>
      </x:c>
      <x:c r="F52" s="28" t="str">
        <x:v>Not started</x:v>
      </x:c>
      <x:c r="G52" s="28"/>
      <x:c r="H52" s="28" t="str">
        <x:v>iOS release + QA</x:v>
      </x:c>
      <x:c r="I52" s="28" t="str">
        <x:v>M</x:v>
      </x:c>
      <x:c r="J52" s="28" t="str">
        <x:v>M002; M077; M081</x:v>
      </x:c>
      <x:c r="K52" s="28" t="str">
        <x:v>Xcode/iOS SDK versions asserted; signed archive entitlements/provisioning verified; TestFlight install, APNs, camera/location/NFC and recovery pass on supported iPhones; no native macOS product is implied.</x:v>
      </x:c>
      <x:c r="L52" s="28" t="str">
        <x:v>Current iOS check is --no-codesign; a build on a macOS host is not proof of signing, APNs, NFC or TestFlight operation.</x:v>
      </x:c>
      <x:c r="M52" s="28" t="str">
        <x:v>scripts/ci/verify_ios_release.sh:51; ios/Runner/Info.plist; ios/Runner/Runner.entitlements; https://developer.apple.com/news/upcoming-requirements/; audit/platform_review.md PL-03
Original source: https://drive.google.com/file/d/1A2RP5xT5ZyUTrF_MafKUGssYZ_4pWp8k/view?usp=drivesdk
https://drive.google.com/file/d/1BVpHj8Sp2PkZtlB_oR1YIVBzyihEFZRJ/view?usp=drivesdk</x:v>
      </x:c>
    </x:row>
    <x:row r="53" ht="112" customHeight="1">
      <x:c r="A53" s="28" t="str">
        <x:v>M047</x:v>
      </x:c>
      <x:c r="B53" s="28" t="str">
        <x:v>P1</x:v>
      </x:c>
      <x:c r="C53" s="28" t="str">
        <x:v>Core</x:v>
      </x:c>
      <x:c r="D53" s="28" t="str">
        <x:v>NFC lifecycle</x:v>
      </x:c>
      <x:c r="E53" s="28" t="str">
        <x:v>Enforce NFC advertisement expiry and owner lifecycle in the native APDU service</x:v>
      </x:c>
      <x:c r="F53" s="28" t="str">
        <x:v>Not started</x:v>
      </x:c>
      <x:c r="G53" s="28"/>
      <x:c r="H53" s="28" t="str">
        <x:v>Android + Flutter</x:v>
      </x:c>
      <x:c r="I53" s="28" t="str">
        <x:v>M</x:v>
      </x:c>
      <x:c r="J53" s="28" t="str">
        <x:v>M007; M055</x:v>
      </x:c>
      <x:c r="K53" s="28" t="str">
        <x:v>Expired, signed-out, reset, changed-owner and restarted states cannot serve stale payload; exact APDU validation tested; explicit stop clears persistent material and UI reflects current state.</x:v>
      </x:c>
      <x:c r="L53" s="28" t="str">
        <x:v>Persistent enabled/raw USSD payload can survive navigation or process restart; native read does not enforce expiry.</x:v>
      </x:c>
      <x:c r="M53" s="28" t="str">
        <x:v>android/app/src/main/kotlin/rw/mobi/app/BioPayHostApduService.kt; MainActivity.kt; lib/features/biopay/presentation/biopay_nfc_screen.dart:51-62; audit/platform_review.md PL-08
Original source: https://drive.google.com/file/d/1E9pNYeMyNT7Wn5T7DP805IDmicfiFVEc/view?usp=drivesdk
https://drive.google.com/file/d/13xDP1FXYO1bq-kP2l81oWO6ytezyfSTZ/view?usp=drivesdk</x:v>
      </x:c>
    </x:row>
    <x:row r="54" ht="112" customHeight="1">
      <x:c r="A54" s="28" t="str">
        <x:v>M048</x:v>
      </x:c>
      <x:c r="B54" s="28" t="str">
        <x:v>P1</x:v>
      </x:c>
      <x:c r="C54" s="28" t="str">
        <x:v>Core</x:v>
      </x:c>
      <x:c r="D54" s="28" t="str">
        <x:v>Verified links</x:v>
      </x:c>
      <x:c r="E54" s="28" t="str">
        <x:v>Verify Android App Links and iOS Universal Links against actual signed application identities</x:v>
      </x:c>
      <x:c r="F54" s="28" t="str">
        <x:v>Not started</x:v>
      </x:c>
      <x:c r="G54" s="28"/>
      <x:c r="H54" s="28" t="str">
        <x:v>Mobile + web release QA</x:v>
      </x:c>
      <x:c r="I54" s="28" t="str">
        <x:v>S</x:v>
      </x:c>
      <x:c r="J54" s="28" t="str">
        <x:v>M002; M044; M046</x:v>
      </x:c>
      <x:c r="K54" s="28" t="str">
        <x:v>Production association files match package/bundle and current signing identities; payment/auth/admin link open, malformed link, browser fallback and reinstall cases pass without open redirects or account confusion.</x:v>
      </x:c>
      <x:c r="L54" s="28" t="str">
        <x:v>Source associations and deep-link routes do not establish deployed domain verification or safe behavior in every installation state.</x:v>
      </x:c>
      <x:c r="M54" s="28" t="str">
        <x:v>android/app/src/main/AndroidManifest.xml; ios/Runner/Runner.entitlements; landing/.well-known; https://developer.android.com/training/app-links/verify-applinks; audit/platform_review.md
Original source: https://drive.google.com/file/d/1CshVCQSVniVLcrD_P0He9olWV0jRsK5f/view?usp=drivesdk
https://drive.google.com/file/d/1BVpHj8Sp2PkZtlB_oR1YIVBzyihEFZRJ/view?usp=drivesdk</x:v>
      </x:c>
    </x:row>
    <x:row r="55" ht="112" customHeight="1">
      <x:c r="A55" s="28" t="str">
        <x:v>M049</x:v>
      </x:c>
      <x:c r="B55" s="28" t="str">
        <x:v>P1</x:v>
      </x:c>
      <x:c r="C55" s="28" t="str">
        <x:v>Core</x:v>
      </x:c>
      <x:c r="D55" s="28" t="str">
        <x:v>Permissions and FGS</x:v>
      </x:c>
      <x:c r="E55" s="28" t="str">
        <x:v>Align minimum permissions, background location and foreground-service declarations with visible product use</x:v>
      </x:c>
      <x:c r="F55" s="28" t="str">
        <x:v>Not started</x:v>
      </x:c>
      <x:c r="G55" s="28"/>
      <x:c r="H55" s="28" t="str">
        <x:v>Android/iOS + privacy + release</x:v>
      </x:c>
      <x:c r="I55" s="28" t="str">
        <x:v>M</x:v>
      </x:c>
      <x:c r="J55" s="28" t="str">
        <x:v>M056; M065</x:v>
      </x:c>
      <x:c r="K55" s="28" t="str">
        <x:v>Permission-denied/revoked/background states behave safely; background location disclosure/video and applicable FGS purpose declarations accepted for actual release; no unused permissions or misleading always-on promise.</x:v>
      </x:c>
      <x:c r="L55" s="28" t="str">
        <x:v>Main app requests background location and native features that require accurate disclosures and real device/state acceptance.</x:v>
      </x:c>
      <x:c r="M55" s="28" t="str">
        <x:v>android/app/src/main/AndroidManifest.xml; ios/Runner/Info.plist; https://support.google.com/googleplay/android-developer/answer/9799150?hl=en; https://developer.android.com/develop/background-work/services/fgs/service-types; audit/platform_review.md PL-10
Original source: https://drive.google.com/file/d/1CshVCQSVniVLcrD_P0He9olWV0jRsK5f/view?usp=drivesdk
https://drive.google.com/file/d/171_14QerVA_QQJxoY7pX9do6v_YMrT5c/view?usp=drivesdk</x:v>
      </x:c>
    </x:row>
    <x:row r="56" ht="112" customHeight="1">
      <x:c r="A56" s="28" t="str">
        <x:v>M050</x:v>
      </x:c>
      <x:c r="B56" s="28" t="str">
        <x:v>P1</x:v>
      </x:c>
      <x:c r="C56" s="28" t="str">
        <x:v>Core</x:v>
      </x:c>
      <x:c r="D56" s="28" t="str">
        <x:v>SDK privacy</x:v>
      </x:c>
      <x:c r="E56" s="28" t="str">
        <x:v>Audit bundled SDK data collection, required-reason APIs and archive privacy manifests</x:v>
      </x:c>
      <x:c r="F56" s="28" t="str">
        <x:v>Not started</x:v>
      </x:c>
      <x:c r="G56" s="28"/>
      <x:c r="H56" s="28" t="str">
        <x:v>iOS/Android + privacy</x:v>
      </x:c>
      <x:c r="I56" s="28" t="str">
        <x:v>M</x:v>
      </x:c>
      <x:c r="J56" s="28" t="str">
        <x:v>M046; M065; M068</x:v>
      </x:c>
      <x:c r="K56" s="28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L56" s="28" t="str">
        <x:v>No first-party manifest was found; Firebase/analytics/conversion SDK footprint requires actual archive and behavior review, not an assumption of tracking.</x:v>
      </x:c>
      <x:c r="M56" s="28" t="str">
        <x:v>ios/Podfile.lock; ios/Runner; pubspec.lock; audit/platform_review.md PL-10; https://developer.apple.com/documentation/bundleresources/privacy-manifest-files
Original source: https://drive.google.com/file/d/1Zkr32UrCgElDUhIuBrQVciYfKFsxCaZp/view?usp=drivesdk
https://drive.google.com/file/d/11FVzDpJjUtz-PxJtvaPmIsqcYDCZq3WC/view?usp=drivesdk</x:v>
      </x:c>
    </x:row>
    <x:row r="57" ht="112" customHeight="1">
      <x:c r="A57" s="28" t="str">
        <x:v>M051</x:v>
      </x:c>
      <x:c r="B57" s="28" t="str">
        <x:v>P1</x:v>
      </x:c>
      <x:c r="C57" s="28" t="str">
        <x:v>Core</x:v>
      </x:c>
      <x:c r="D57" s="28" t="str">
        <x:v>Operator continuity</x:v>
      </x:c>
      <x:c r="E57" s="28" t="str">
        <x:v>Validate USSD/SMS on current Rwanda operators, SIM options and 4G/VoLTE devices</x:v>
      </x:c>
      <x:c r="F57" s="28" t="str">
        <x:v>Not started</x:v>
      </x:c>
      <x:c r="G57" s="28"/>
      <x:c r="H57" s="28" t="str">
        <x:v>Operator liaison + mobile QA</x:v>
      </x:c>
      <x:c r="I57" s="28" t="str">
        <x:v>M</x:v>
      </x:c>
      <x:c r="J57" s="28" t="str">
        <x:v>M044; M046</x:v>
      </x:c>
      <x:c r="K57" s="28" t="str">
        <x:v>Approved handset/SIM/operator matrix covers dual-SIM, permission defaults, low coverage and 4G/VoLTE; track 2027-06-30 3G transition guidance without claiming USSD disappears; collector hardware choice is evidence-based.</x:v>
      </x:c>
      <x:c r="L57" s="28" t="str">
        <x:v>Dialer and collector behavior is operator/device dependent; announced 3G sunset changes procurement and regression needs.</x:v>
      </x:c>
      <x:c r="M57" s="28" t="str">
        <x:v>audit/platform_review.md device matrix; audit/privacy_review.md section 6; https://www.minict.gov.rw/news-detail/rwanda-to-switch-off-3g-networks-on-30-june-2027</x:v>
      </x:c>
    </x:row>
    <x:row r="58" ht="112" customHeight="1">
      <x:c r="A58" s="28" t="str">
        <x:v>M052</x:v>
      </x:c>
      <x:c r="B58" s="28" t="str">
        <x:v>P1</x:v>
      </x:c>
      <x:c r="C58" s="28" t="str">
        <x:v>Core</x:v>
      </x:c>
      <x:c r="D58" s="28" t="str">
        <x:v>Store readiness</x:v>
      </x:c>
      <x:c r="E58" s="28" t="str">
        <x:v>Reconcile store content, version identity, age-rating questions and reviewer instructions</x:v>
      </x:c>
      <x:c r="F58" s="28" t="str">
        <x:v>Not started</x:v>
      </x:c>
      <x:c r="G58" s="28"/>
      <x:c r="H58" s="28" t="str">
        <x:v>Release + product + privacy</x:v>
      </x:c>
      <x:c r="I58" s="28" t="str">
        <x:v>M</x:v>
      </x:c>
      <x:c r="J58" s="28" t="str">
        <x:v>M011; M044; M046; M050; M065</x:v>
      </x:c>
      <x:c r="K58" s="28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L58" s="28" t="str">
        <x:v>Store text omits current features and iOS camera copy still names retired AWS; exact submitted artifact/version evidence is required.</x:v>
      </x:c>
      <x:c r="M58" s="28" t="str">
        <x:v>ios/Runner/Info.plist; android/fastlane/metadata; docs/release; audit/platform_review.md PL-10; https://developer.apple.com/news/upcoming-requirements/
Original source: https://drive.google.com/drive/folders/1zahDeIbIAOW55lWawkAqajb_BhrPLZsg
https://drive.google.com/file/d/171_14QerVA_QQJxoY7pX9do6v_YMrT5c/view?usp=drivesdk</x:v>
      </x:c>
    </x:row>
    <x:row r="59" ht="112" customHeight="1">
      <x:c r="A59" s="28" t="str">
        <x:v>M053</x:v>
      </x:c>
      <x:c r="B59" s="28" t="str">
        <x:v>P1</x:v>
      </x:c>
      <x:c r="C59" s="28" t="str">
        <x:v>Core</x:v>
      </x:c>
      <x:c r="D59" s="28" t="str">
        <x:v>Startup resilience</x:v>
      </x:c>
      <x:c r="E59" s="28" t="str">
        <x:v>Bound minimum bootstrap and defer optional Firebase/config/push work</x:v>
      </x:c>
      <x:c r="F59" s="28" t="str">
        <x:v>Not started</x:v>
      </x:c>
      <x:c r="G59" s="28"/>
      <x:c r="H59" s="28" t="str">
        <x:v>Flutter</x:v>
      </x:c>
      <x:c r="I59" s="28" t="str">
        <x:v>M</x:v>
      </x:c>
      <x:c r="J59" s="28" t="str">
        <x:v>M012</x:v>
      </x:c>
      <x:c r="K59" s="28" t="str">
        <x:v>Airplane mode, slow DNS, captive portal and Firebase outage produce usable cached/retry states; mandatory configuration still fails closed; cold/warm release launch measurements meet agreed budget.</x:v>
      </x:c>
      <x:c r="L59" s="28" t="str">
        <x:v>Optional initialization precedes mounting the app and some awaits have no deadline; failure can strand the launch screen.</x:v>
      </x:c>
      <x:c r="M59" s="28" t="str">
        <x:v>lib/app/bootstrap.dart:39-160; lib/core/firebase/firebase_bootstrap_service.dart; firebase_remote_config_service.dart; audit/flutter_review.md FL-05
Original source: https://drive.google.com/file/d/1cmH3dI_QSwTvgj-22nU3q1Nb26915hjh/view?usp=drivesdk
https://drive.google.com/file/d/16rAbretfd1HwG3q_qLdo6WHrvbIB061u/view?usp=drivesdk</x:v>
      </x:c>
    </x:row>
    <x:row r="60" ht="112" customHeight="1">
      <x:c r="A60" s="28" t="str">
        <x:v>M054</x:v>
      </x:c>
      <x:c r="B60" s="28" t="str">
        <x:v>P1</x:v>
      </x:c>
      <x:c r="C60" s="28" t="str">
        <x:v>Core</x:v>
      </x:c>
      <x:c r="D60" s="28" t="str">
        <x:v>Request outcomes</x:v>
      </x:c>
      <x:c r="E60" s="28" t="str">
        <x:v>Standardize request deadlines and distinguish unknown mutation outcomes from failure</x:v>
      </x:c>
      <x:c r="F60" s="28" t="str">
        <x:v>Not started</x:v>
      </x:c>
      <x:c r="G60" s="28"/>
      <x:c r="H60" s="28" t="str">
        <x:v>Flutter + backend</x:v>
      </x:c>
      <x:c r="I60" s="28" t="str">
        <x:v>M</x:v>
      </x:c>
      <x:c r="J60" s="28" t="str">
        <x:v>M091; shared operation-outcome contract</x:v>
      </x:c>
      <x:c r="K60" s="28" t="str">
        <x:v>Read timeouts show recoverable unavailable states; writes retain operation identity and query status after response loss; no false payment-success label or blind duplicated mutation.</x:v>
      </x:c>
      <x:c r="L60" s="28" t="str">
        <x:v>Payment-discovery/admin calls lack explicit bounded UI recovery; timing out a future does not cancel a committed write.</x:v>
      </x:c>
      <x:c r="M60" s="28" t="str">
        <x:v>lib/features/biopay/data/payment_discovery_service.dart:41-107; lib/features/bookings/data/trip_service.dart:138-145; audit/flutter_review.md FL-06
Original source: https://drive.google.com/file/d/1VUan_d6DaBvOdyaJaPwIUhYmYIVpNgfH/view?usp=drivesdk
https://drive.google.com/file/d/18TwBSLp6s-TqZ8Ny_zPOREtE7Ql13kn-/view?usp=drivesdk</x:v>
      </x:c>
    </x:row>
    <x:row r="61" ht="112" customHeight="1">
      <x:c r="A61" s="28" t="str">
        <x:v>M055</x:v>
      </x:c>
      <x:c r="B61" s="28" t="str">
        <x:v>P1</x:v>
      </x:c>
      <x:c r="C61" s="28" t="str">
        <x:v>Core</x:v>
      </x:c>
      <x:c r="D61" s="28" t="str">
        <x:v>Account-bound async work</x:v>
      </x:c>
      <x:c r="E61" s="28" t="str">
        <x:v>Apply account and generation checks across Profile, shell, bookings and pending operations</x:v>
      </x:c>
      <x:c r="F61" s="28" t="str">
        <x:v>Not started</x:v>
      </x:c>
      <x:c r="G61" s="28"/>
      <x:c r="H61" s="28" t="str">
        <x:v>Flutter</x:v>
      </x:c>
      <x:c r="I61" s="28" t="str">
        <x:v>M</x:v>
      </x:c>
      <x:c r="J61" s="28" t="str">
        <x:v>M007</x:v>
      </x:c>
      <x:c r="K61" s="28" t="str">
        <x:v>Delay A responses until after B signs in; no A profile/role/data changes B UI; rapid mode/search changes discard stale results and disposed work cannot restore listeners.</x:v>
      </x:c>
      <x:c r="L61" s="28" t="str">
        <x:v>Older responses can overwrite current user/mode state after asynchronous work; stronger notification/face patterns already exist.</x:v>
      </x:c>
      <x:c r="M61" s="28" t="str">
        <x:v>lib/features/bookings/presentation/bookings_screen.dart:67-132; lib/features/profile/presentation/profile_screen.dart:77-114; lib/app/shell.dart:68-96; audit/flutter_review.md FL-07
Original source: https://drive.google.com/file/d/133jijD3OWgkiq8kvYppJsiGdn427lgiK/view?usp=drivesdk
https://drive.google.com/file/d/18urTvEQkxOoO54RdPEqF3hG6P_FLgWYX/view?usp=drivesdk</x:v>
      </x:c>
    </x:row>
    <x:row r="62" ht="112" customHeight="1">
      <x:c r="A62" s="28" t="str">
        <x:v>M056</x:v>
      </x:c>
      <x:c r="B62" s="28" t="str">
        <x:v>P1</x:v>
      </x:c>
      <x:c r="C62" s="28" t="str">
        <x:v>Core</x:v>
      </x:c>
      <x:c r="D62" s="28" t="str">
        <x:v>Location authority</x:v>
      </x:c>
      <x:c r="E62" s="28" t="str">
        <x:v>Bind driver sharing to its account and enforce server freshness, radius and result caps</x:v>
      </x:c>
      <x:c r="F62" s="28" t="str">
        <x:v>Not started</x:v>
      </x:c>
      <x:c r="G62" s="28"/>
      <x:c r="H62" s="28" t="str">
        <x:v>Flutter + backend + privacy</x:v>
      </x:c>
      <x:c r="I62" s="28" t="str">
        <x:v>M</x:v>
      </x:c>
      <x:c r="J62" s="28" t="str">
        <x:v>M007; M055</x:v>
      </x:c>
      <x:c r="K62" s="28" t="str">
        <x:v>Concurrent start/stop/account changes cannot resurrect sharing; stale presence excluded on all surfaces; bounded radius/limit and coordinate precision follow purpose; denied/revoked permission marks unavailable/offline.</x:v>
      </x:c>
      <x:c r="L62" s="28" t="str">
        <x:v>Client start/stop races can install obsolete subscriptions; discovery trusts online flags without a server TTL and exposes broad precise-location results.</x:v>
      </x:c>
      <x:c r="M62" s="28" t="str">
        <x:v>lib/features/nearby/data/driver_location_sharing_service.dart; supabase/migrations/20260915003031_harden_driver_discovery_identity.sql:5-102; audit/flutter_review.md FL-07; audit/backend_review.md B-07
Original source: https://drive.google.com/file/d/13WznvHZhWTofuAfvMnxlKTPdDtwfs6AX/view?usp=drivesdk
https://drive.google.com/file/d/1YxrFAODfP5TOTqAo9h72e7UZh8p2uEt5/view?usp=drivesdk</x:v>
      </x:c>
    </x:row>
    <x:row r="63" ht="112" customHeight="1">
      <x:c r="A63" s="28" t="str">
        <x:v>M057</x:v>
      </x:c>
      <x:c r="B63" s="28" t="str">
        <x:v>P1</x:v>
      </x:c>
      <x:c r="C63" s="28" t="str">
        <x:v>Face</x:v>
      </x:c>
      <x:c r="D63" s="28" t="str">
        <x:v>Truthful status</x:v>
      </x:c>
      <x:c r="E63" s="28" t="str">
        <x:v>Represent unknown/unavailable face state distinctly from not enrolled</x:v>
      </x:c>
      <x:c r="F63" s="28" t="str">
        <x:v>Not started</x:v>
      </x:c>
      <x:c r="G63" s="28"/>
      <x:c r="H63" s="28" t="str">
        <x:v>Flutter</x:v>
      </x:c>
      <x:c r="I63" s="28" t="str">
        <x:v>S</x:v>
      </x:c>
      <x:c r="J63" s="28" t="str">
        <x:v>M055</x:v>
      </x:c>
      <x:c r="K63" s="28" t="str">
        <x:v>Existing enrollment is never displayed as absent solely from service failure; loading, unavailable and approved cached state are distinct; retry and pause/remove recovery remain usable.</x:v>
      </x:c>
      <x:c r="L63" s="28" t="str">
        <x:v>Profile replaces a failed face-status request with not_started, misleading enrolled users during outages.</x:v>
      </x:c>
      <x:c r="M63" s="28" t="str">
        <x:v>lib/features/profile/presentation/profile_screen.dart:89-108,371-374,547-557; audit/flutter_review.md FL-08
Original source: https://drive.google.com/file/d/18urTvEQkxOoO54RdPEqF3hG6P_FLgWYX/view?usp=drivesdk</x:v>
      </x:c>
    </x:row>
    <x:row r="64" ht="112" customHeight="1">
      <x:c r="A64" s="28" t="str">
        <x:v>M058</x:v>
      </x:c>
      <x:c r="B64" s="28" t="str">
        <x:v>P1</x:v>
      </x:c>
      <x:c r="C64" s="28" t="str">
        <x:v>Core</x:v>
      </x:c>
      <x:c r="D64" s="28" t="str">
        <x:v>Launch localization</x:v>
      </x:c>
      <x:c r="E64" s="28" t="str">
        <x:v>Complete and review critical journeys in each promised launch language</x:v>
      </x:c>
      <x:c r="F64" s="28" t="str">
        <x:v>Not started</x:v>
      </x:c>
      <x:c r="G64" s="28"/>
      <x:c r="H64" s="28" t="str">
        <x:v>Flutter + localization + product</x:v>
      </x:c>
      <x:c r="I64" s="28" t="str">
        <x:v>M</x:v>
      </x:c>
      <x:c r="J64" s="28" t="str">
        <x:v>M065</x:v>
      </x:c>
      <x:c r="K64" s="28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L64" s="28" t="str">
        <x:v>Three translation catalogs exist but authentication, chat, home, Profile and admin contain hardcoded English.</x:v>
      </x:c>
      <x:c r="M64" s="28" t="str">
        <x:v>lib/l10n/app_en.arb; app_rw.arb; app_fr.arb; audit/flutter_review.md FL-11
Original source: https://drive.google.com/file/d/1mjt5bSDzInV-jUfGUJohw56KAzStbtix/view?usp=drivesdk</x:v>
      </x:c>
    </x:row>
    <x:row r="65" ht="112" customHeight="1">
      <x:c r="A65" s="28" t="str">
        <x:v>M059</x:v>
      </x:c>
      <x:c r="B65" s="28" t="str">
        <x:v>P2</x:v>
      </x:c>
      <x:c r="C65" s="28" t="str">
        <x:v>Core</x:v>
      </x:c>
      <x:c r="D65" s="28" t="str">
        <x:v>Secondary localization</x:v>
      </x:c>
      <x:c r="E65" s="28" t="str">
        <x:v>Finish secondary/admin copy and locale-aware dates, pluralization and currency</x:v>
      </x:c>
      <x:c r="F65" s="28" t="str">
        <x:v>Not started</x:v>
      </x:c>
      <x:c r="G65" s="28"/>
      <x:c r="H65" s="28" t="str">
        <x:v>Flutter + localization</x:v>
      </x:c>
      <x:c r="I65" s="28" t="str">
        <x:v>M</x:v>
      </x:c>
      <x:c r="J65" s="28" t="str">
        <x:v>M058</x:v>
      </x:c>
      <x:c r="K65" s="28" t="str">
        <x:v>Inventory of remaining hardcoded user-facing copy closed or explicitly deferred; each supported locale has reviewed plural/date/currency behavior and screenshots without truncation.</x:v>
      </x:c>
      <x:c r="L65" s="28" t="str">
        <x:v>Partial localization creates uneven experience beyond the initial critical flows.</x:v>
      </x:c>
      <x:c r="M65" s="28" t="str">
        <x:v>lib/features/admin; lib/features/profile; lib/features/chat; audit/flutter_review.md FL-11
Original source: https://drive.google.com/drive/folders/15N84L16_NCXcIFP2MilU6QMZYOKFGKzW
https://drive.google.com/drive/folders/1AP0sh5lM_wR9WyxxdJKAUc9m0djWf3Fs</x:v>
      </x:c>
    </x:row>
    <x:row r="66" ht="112" customHeight="1">
      <x:c r="A66" s="28" t="str">
        <x:v>M060</x:v>
      </x:c>
      <x:c r="B66" s="28" t="str">
        <x:v>P1</x:v>
      </x:c>
      <x:c r="C66" s="28" t="str">
        <x:v>Core</x:v>
      </x:c>
      <x:c r="D66" s="28" t="str">
        <x:v>Accessibility</x:v>
      </x:c>
      <x:c r="E66" s="28" t="str">
        <x:v>Run existing accessibility coverage and physical assistive-technology journey acceptance</x:v>
      </x:c>
      <x:c r="F66" s="28" t="str">
        <x:v>Not started</x:v>
      </x:c>
      <x:c r="G66" s="28"/>
      <x:c r="H66" s="28" t="str">
        <x:v>QA + design + Flutter</x:v>
      </x:c>
      <x:c r="I66" s="28" t="str">
        <x:v>M</x:v>
      </x:c>
      <x:c r="J66" s="28" t="str">
        <x:v>M053; M058; M076</x:v>
      </x:c>
      <x:c r="K66" s="28" t="str">
        <x:v>TalkBack/VoiceOver, keyboard, 200% text, contrast/touch targets, focus, error announcements and reduced motion pass across accepted journeys and screen sizes; intended automatic handoff is clearly announced.</x:v>
      </x:c>
      <x:c r="L66" s="28" t="str">
        <x:v>Meaningful semantics/scale/reduced-motion tests exist but no current screen-reader or device result was produced by this audit.</x:v>
      </x:c>
      <x:c r="M66" s="28" t="str">
        <x:v>design.md; test accessibility/semantics suites; audit/flutter_review.md Accessibility section; https://docs.flutter.dev/ui/accessibility
Original source: https://drive.google.com/file/d/1MDlUp2tylgWDZ1AfN4ssXDOKSvLkdN5-/view?usp=drivesdk</x:v>
      </x:c>
    </x:row>
    <x:row r="67" ht="112" customHeight="1">
      <x:c r="A67" s="28" t="str">
        <x:v>M061</x:v>
      </x:c>
      <x:c r="B67" s="28" t="str">
        <x:v>P2</x:v>
      </x:c>
      <x:c r="C67" s="28" t="str">
        <x:v>Core</x:v>
      </x:c>
      <x:c r="D67" s="28" t="str">
        <x:v>Chat reliability</x:v>
      </x:c>
      <x:c r="E67" s="28" t="str">
        <x:v>Add stable client-message IDs, uncertain-send reconciliation and cursor history</x:v>
      </x:c>
      <x:c r="F67" s="28" t="str">
        <x:v>Not started</x:v>
      </x:c>
      <x:c r="G67" s="28"/>
      <x:c r="H67" s="28" t="str">
        <x:v>Flutter + backend</x:v>
      </x:c>
      <x:c r="I67" s="28" t="str">
        <x:v>M</x:v>
      </x:c>
      <x:c r="J67" s="28" t="str">
        <x:v>M007; M054</x:v>
      </x:c>
      <x:c r="K67" s="28" t="str">
        <x:v>Lost acknowledgement/retry and restart yield one message; draft remains owner-scoped; reconnect recovery works; cursor pagination preserves ordering for conversations over 100 messages when full history is promised.</x:v>
      </x:c>
      <x:c r="L67" s="28" t="str">
        <x:v>Timeout retries lack a message identity; history refresh is limited to the latest window.</x:v>
      </x:c>
      <x:c r="M67" s="28" t="str">
        <x:v>lib/features/chat/data/chat_service.dart:193-221,306-347; lib/features/chat/presentation/chat_screen.dart; audit/flutter_review.md FL-12
Original source: https://drive.google.com/file/d/12n5FHLFgRu9NPOsRAb9HFFgWAIIaol3b/view?usp=drivesdk
https://drive.google.com/file/d/1BrgbaLACv8-s6Hop1vdwBt8E9gvQ61E_/view?usp=drivesdk</x:v>
      </x:c>
    </x:row>
    <x:row r="68" ht="112" customHeight="1">
      <x:c r="A68" s="28" t="str">
        <x:v>M062</x:v>
      </x:c>
      <x:c r="B68" s="28" t="str">
        <x:v>P1</x:v>
      </x:c>
      <x:c r="C68" s="28" t="str">
        <x:v>Core</x:v>
      </x:c>
      <x:c r="D68" s="28" t="str">
        <x:v>Operational switches</x:v>
      </x:c>
      <x:c r="E68" s="28" t="str">
        <x:v>Implement exercised server feature controls and truthful client maintenance messaging</x:v>
      </x:c>
      <x:c r="F68" s="28" t="str">
        <x:v>Not started</x:v>
      </x:c>
      <x:c r="G68" s="28"/>
      <x:c r="H68" s="28" t="str">
        <x:v>Backend + Flutter + SRE</x:v>
      </x:c>
      <x:c r="I68" s="28" t="str">
        <x:v>M</x:v>
      </x:c>
      <x:c r="J68" s="28" t="str">
        <x:v>M015; M016; approved enabled-feature scope</x:v>
      </x:c>
      <x:c r="K68" s="28" t="str">
        <x:v>Already-running clients respond to scoped suspension; server rejects affected writes; manual/QR/read-only recovery remains as approved; expiry/rollback and operator ownership are tested.</x:v>
      </x:c>
      <x:c r="L68" s="28" t="str">
        <x:v>Remote Config maintenance flag is declared but unused; a client flag alone cannot stop unsafe backend operations.</x:v>
      </x:c>
      <x:c r="M68" s="28" t="str">
        <x:v>lib/core/firebase/firebase_remote_config_service.dart:51-58,94-97; audit/flutter_review.md FL-14; docs/operations/face-ussd-runbook.md
Original source: https://drive.google.com/file/d/1ktk89YYNARL-mxcs3U1Z1AN7_BBX3CZS/view?usp=drivesdk
https://drive.google.com/file/d/1vZVjzSVzBGDPvEDyH5wTO996VJbSCDGt/view?usp=drivesdk</x:v>
      </x:c>
    </x:row>
    <x:row r="69" ht="112" customHeight="1">
      <x:c r="A69" s="28" t="str">
        <x:v>M063</x:v>
      </x:c>
      <x:c r="B69" s="28" t="str">
        <x:v>P2</x:v>
      </x:c>
      <x:c r="C69" s="28" t="str">
        <x:v>Core</x:v>
      </x:c>
      <x:c r="D69" s="28" t="str">
        <x:v>Maintainability</x:v>
      </x:c>
      <x:c r="E69" s="28" t="str">
        <x:v>Refactor touched oversized screens and overloaded models into typed application/repository boundaries</x:v>
      </x:c>
      <x:c r="F69" s="28" t="str">
        <x:v>Not started</x:v>
      </x:c>
      <x:c r="G69" s="28"/>
      <x:c r="H69" s="28" t="str">
        <x:v>Flutter technical lead</x:v>
      </x:c>
      <x:c r="I69" s="28" t="str">
        <x:v>L</x:v>
      </x:c>
      <x:c r="J69" s="28" t="str">
        <x:v>M006; M007; M054</x:v>
      </x:c>
      <x:c r="K69" s="28" t="str">
        <x:v>Typed person/trip/member-ID and RPC outcome contracts replace lossy seams; changed workflows have focused tests; preserve Riverpod/GoRouter and avoid an unrelated framework rewrite.</x:v>
      </x:c>
      <x:c r="L69" s="28" t="str">
        <x:v>Mixed Trip/person fields and UI-owned persistence/network orchestration contribute to identity loss and inconsistent retry behavior.</x:v>
      </x:c>
      <x:c r="M69" s="28" t="str">
        <x:v>packages/shared-types/lib/models/trip.dart:18-130; lib/features/profile/presentation/wallet_screen.dart; audit/flutter_review.md FL-15; https://docs.flutter.dev/app-architecture/recommendations
Original source: https://drive.google.com/file/d/1LlppucPRV_7Kpp3kh07UDhWL39XAPyVI/view?usp=drivesdk
https://drive.google.com/file/d/1o98InGRT4t8lKLoSczaM3cwtbKewfLj1/view?usp=drivesdk</x:v>
      </x:c>
    </x:row>
    <x:row r="70" ht="112" customHeight="1">
      <x:c r="A70" s="28" t="str">
        <x:v>M064</x:v>
      </x:c>
      <x:c r="B70" s="28" t="str">
        <x:v>P2</x:v>
      </x:c>
      <x:c r="C70" s="28" t="str">
        <x:v>Core</x:v>
      </x:c>
      <x:c r="D70" s="28" t="str">
        <x:v>Mobile performance</x:v>
      </x:c>
      <x:c r="E70" s="28" t="str">
        <x:v>Measure release/profile launch, frame timing, camera memory and location battery cost</x:v>
      </x:c>
      <x:c r="F70" s="28" t="str">
        <x:v>Not started</x:v>
      </x:c>
      <x:c r="G70" s="28"/>
      <x:c r="H70" s="28" t="str">
        <x:v>Performance QA + Flutter/native</x:v>
      </x:c>
      <x:c r="I70" s="28" t="str">
        <x:v>M</x:v>
      </x:c>
      <x:c r="J70" s="28" t="str">
        <x:v>M053; M056; M060</x:v>
      </x:c>
      <x:c r="K70" s="28" t="str">
        <x:v>Representative lower-cost Android and iPhone reports include configuration and p50/p95; accepted budgets cover startup, jank, memory, upload size, battery/network and admin lists; optimize only demonstrated bottlenecks.</x:v>
      </x:c>
      <x:c r="L70" s="28" t="str">
        <x:v>No device benchmark establishes current performance; framework replacement would not resolve measured contract defects.</x:v>
      </x:c>
      <x:c r="M70" s="28" t="str">
        <x:v>audit/flutter_review.md performance section; audit/platform_review.md device matrix; https://docs.flutter.dev/perf/best-practices</x:v>
      </x:c>
    </x:row>
    <x:row r="71" ht="112" customHeight="1">
      <x:c r="A71" s="28" t="str">
        <x:v>M065</x:v>
      </x:c>
      <x:c r="B71" s="28" t="str">
        <x:v>P1</x:v>
      </x:c>
      <x:c r="C71" s="28" t="str">
        <x:v>Core</x:v>
      </x:c>
      <x:c r="D71" s="28" t="str">
        <x:v>Privacy inventory and notices</x:v>
      </x:c>
      <x:c r="E71" s="28" t="str">
        <x:v>Publish a current feature/data inventory and reconcile privacy, terms and deletion copy</x:v>
      </x:c>
      <x:c r="F71" s="28" t="str">
        <x:v>Not started</x:v>
      </x:c>
      <x:c r="G71" s="28"/>
      <x:c r="H71" s="28" t="str">
        <x:v>Privacy + product + engineering</x:v>
      </x:c>
      <x:c r="I71" s="28" t="str">
        <x:v>M</x:v>
      </x:c>
      <x:c r="J71" s="28" t="str">
        <x:v>M068; M024 if paid features enabled; M067 for enabled high-risk features</x:v>
      </x:c>
      <x:c r="K71" s="28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L71" s="28" t="str">
        <x:v>May/June notices describe anonymous login and AWS verification while September code uses WhatsApp and Cloudflare recipient lookup.</x:v>
      </x:c>
      <x:c r="M71" s="28" t="str">
        <x:v>landing/privacy-policy.html; landing/terms-and-conditions.html; landing/account-deletion.html; docs/compliance/data-inventory.md; audit/privacy_review.md PRIV-01,PRIV-06
Original source: https://drive.google.com/file/d/1zQH0mmbadmfJtnEBxNkyZUnkm3Uv2LQJ/view?usp=drivesdk
https://drive.google.com/file/d/1cjZLmcOWDsYYYP_-f0mYAFww9QnZ4OHp/view?usp=drivesdk</x:v>
      </x:c>
    </x:row>
    <x:row r="72" ht="112" customHeight="1">
      <x:c r="A72" s="28" t="str">
        <x:v>M066</x:v>
      </x:c>
      <x:c r="B72" s="28" t="str">
        <x:v>P1</x:v>
      </x:c>
      <x:c r="C72" s="28" t="str">
        <x:v>Core</x:v>
      </x:c>
      <x:c r="D72" s="28" t="str">
        <x:v>Governance evidence</x:v>
      </x:c>
      <x:c r="E72" s="28" t="str">
        <x:v>Record operator/controller registration, overseas-storage scope and accountable DPO</x:v>
      </x:c>
      <x:c r="F72" s="28" t="str">
        <x:v>Not started</x:v>
      </x:c>
      <x:c r="G72" s="28"/>
      <x:c r="H72" s="28" t="str">
        <x:v>Qualified Rwanda counsel + privacy lead</x:v>
      </x:c>
      <x:c r="I72" s="28" t="str">
        <x:v>M</x:v>
      </x:c>
      <x:c r="J72" s="28" t="str">
        <x:v>Operator and enabled-feature inventory draft</x:v>
      </x:c>
      <x:c r="K72" s="28" t="str">
        <x:v>Current official requirements and entity applicability checked; certificate/expiry/conditions and DPO appointment/contact documented; outstanding conditions have owners and affected-feature decisions.</x:v>
      </x:c>
      <x:c r="L72" s="28" t="str">
        <x:v>Organization-specific certificates and conditions were not supplied; missing evidence is not proof of nonregistration.</x:v>
      </x:c>
      <x:c r="M72" s="28" t="str">
        <x:v>audit/privacy_review.md section 1; https://cyber.gov.rw/fileadmin/user_upload/NCSA/Documents/Laws/OG_Special_of_15.10.2021_Amakuru_bwite.pdf; https://www.risa.gov.rw/data-protection-and-privacy-law</x:v>
      </x:c>
    </x:row>
    <x:row r="73" ht="112" customHeight="1">
      <x:c r="A73" s="28" t="str">
        <x:v>M067</x:v>
      </x:c>
      <x:c r="B73" s="28" t="str">
        <x:v>P1</x:v>
      </x:c>
      <x:c r="C73" s="28" t="str">
        <x:v>Face</x:v>
      </x:c>
      <x:c r="D73" s="28" t="str">
        <x:v>Impact assessment</x:v>
      </x:c>
      <x:c r="E73" s="28" t="str">
        <x:v>Complete a scoped impact/risk assessment for face lookup, location and institutional SMS</x:v>
      </x:c>
      <x:c r="F73" s="28" t="str">
        <x:v>Not started</x:v>
      </x:c>
      <x:c r="G73" s="28"/>
      <x:c r="H73" s="28" t="str">
        <x:v>Privacy lead + qualified counsel + security</x:v>
      </x:c>
      <x:c r="I73" s="28" t="str">
        <x:v>M</x:v>
      </x:c>
      <x:c r="J73" s="28" t="str">
        <x:v>M024; M026; M056; M066</x:v>
      </x:c>
      <x:c r="K73" s="28" t="str">
        <x:v>Document actual no-liveness lookup purpose, consent/withdrawal, false-match risk, unknown persons, retention, security and alternatives; approve residual risk before affected feature activation.</x:v>
      </x:c>
      <x:c r="L73" s="28" t="str">
        <x:v>Sensitive templates, bystanders/third-party senders and live location require purpose-specific grounds, safeguards and residual-risk decisions.</x:v>
      </x:c>
      <x:c r="M73" s="28" t="str">
        <x:v>docs/product/face-ussd-20260920/APPROVAL.md; audit/privacy_review.md section 1 and PR-T03; https://www.risa.gov.rw/data-protection-and-privacy-law
Original source: https://drive.google.com/file/d/1Ql7MVmCXqbgiB8DwU11kDXAjNmRtYF-k/view?usp=drivesdk</x:v>
      </x:c>
    </x:row>
    <x:row r="74" ht="112" customHeight="1">
      <x:c r="A74" s="28" t="str">
        <x:v>M068</x:v>
      </x:c>
      <x:c r="B74" s="28" t="str">
        <x:v>P1</x:v>
      </x:c>
      <x:c r="C74" s="28" t="str">
        <x:v>Core</x:v>
      </x:c>
      <x:c r="D74" s="28" t="str">
        <x:v>Processors and data location</x:v>
      </x:c>
      <x:c r="E74" s="28" t="str">
        <x:v>Verify actual vendor regions, contracts, subprocessors and lawful overseas arrangements</x:v>
      </x:c>
      <x:c r="F74" s="28" t="str">
        <x:v>Not started</x:v>
      </x:c>
      <x:c r="G74" s="28"/>
      <x:c r="H74" s="28" t="str">
        <x:v>Privacy + platform + qualified counsel</x:v>
      </x:c>
      <x:c r="I74" s="28" t="str">
        <x:v>M</x:v>
      </x:c>
      <x:c r="J74" s="28" t="str">
        <x:v>M066</x:v>
      </x:c>
      <x:c r="K74" s="28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L74" s="28" t="str">
        <x:v>Configured providers do not establish data location or contractual authority; Vectorize is outside some Cloudflare locality controls.</x:v>
      </x:c>
      <x:c r="M74" s="28" t="str">
        <x:v>audit/privacy_review.md section 3; https://developers.cloudflare.com/data-localization/compatibility/; https://developers.cloudflare.com/containers/concepts/placement/; https://supabase.com/docs/guides/platform/regions
Original source: https://drive.google.com/drive/folders/1IOYNDX1ALDVg9Mx6zXM1yZe8HP0xl7CG
https://drive.google.com/drive/folders/1VeEGNOl32YcDgwjU7FZhqwcj_7Vyqy6c</x:v>
      </x:c>
    </x:row>
    <x:row r="75" ht="112" customHeight="1">
      <x:c r="A75" s="28" t="str">
        <x:v>M069</x:v>
      </x:c>
      <x:c r="B75" s="28" t="str">
        <x:v>P1</x:v>
      </x:c>
      <x:c r="C75" s="28" t="str">
        <x:v>Core</x:v>
      </x:c>
      <x:c r="D75" s="28" t="str">
        <x:v>Account deletion</x:v>
      </x:c>
      <x:c r="E75" s="28" t="str">
        <x:v>Implement authenticated deletion initiation, status and cross-store completion</x:v>
      </x:c>
      <x:c r="F75" s="28" t="str">
        <x:v>Not started</x:v>
      </x:c>
      <x:c r="G75" s="28"/>
      <x:c r="H75" s="28" t="str">
        <x:v>Backend + Flutter + privacy + support</x:v>
      </x:c>
      <x:c r="I75" s="28" t="str">
        <x:v>L</x:v>
      </x:c>
      <x:c r="J75" s="28" t="str">
        <x:v>M007; M008; M065; M039 if Face enabled</x:v>
      </x:c>
      <x:c r="K75" s="28" t="str">
        <x:v>Synthetic account deletion covers Auth sessions, SQL, Storage, push, vectors and applicable analytics; retries and legal retention exceptions tracked; in-app and web initiation/status work without hidden manual-only steps.</x:v>
      </x:c>
      <x:c r="L75" s="28" t="str">
        <x:v>Current support-mail surface and face-only removal do not prove full account deletion across enabled data classes.</x:v>
      </x:c>
      <x:c r="M75" s="28" t="str">
        <x:v>lib/features/profile/presentation/profile_screen.dart; landing/account-deletion.html; audit/backend_review.md B-13; audit/flutter_review.md FL-09; audit/privacy_review.md PRIV-04
Original source: https://drive.google.com/file/d/18urTvEQkxOoO54RdPEqF3hG6P_FLgWYX/view?usp=drivesdk
https://drive.google.com/file/d/1cwyLRfUildTAHReym4ReNQOWDOGYNq7K/view?usp=drivesdk</x:v>
      </x:c>
    </x:row>
    <x:row r="76" ht="112" customHeight="1">
      <x:c r="A76" s="28" t="str">
        <x:v>M070</x:v>
      </x:c>
      <x:c r="B76" s="28" t="str">
        <x:v>P1</x:v>
      </x:c>
      <x:c r="C76" s="28" t="str">
        <x:v>Core</x:v>
      </x:c>
      <x:c r="D76" s="28" t="str">
        <x:v>Retention and requests</x:v>
      </x:c>
      <x:c r="E76" s="28" t="str">
        <x:v>Set data-class retention and implement receipt-based request deadlines with verified purge</x:v>
      </x:c>
      <x:c r="F76" s="28" t="str">
        <x:v>Not started</x:v>
      </x:c>
      <x:c r="G76" s="28"/>
      <x:c r="H76" s="28" t="str">
        <x:v>Privacy + backend + support</x:v>
      </x:c>
      <x:c r="I76" s="28" t="str">
        <x:v>M</x:v>
      </x:c>
      <x:c r="J76" s="28" t="str">
        <x:v>M065; M069; retention and backup design</x:v>
      </x:c>
      <x:c r="K76" s="28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</x:v>
      </x:c>
      <x:c r="L76" s="28" t="str">
        <x:v>Current retention is vague and deletion page starts the response clock after verification; restores can reintroduce deleted data.</x:v>
      </x:c>
      <x:c r="M76" s="28" t="str">
        <x:v>docs/compliance/data-inventory.md; landing/account-deletion.html; audit/privacy_review.md PRIV-05,PRIV-07; Rwanda Law 058/2021 Arts 23,52
Original source: https://drive.google.com/file/d/1cjZLmcOWDsYYYP_-f0mYAFww9QnZ4OHp/view?usp=drivesdk
https://drive.google.com/file/d/1cwyLRfUildTAHReym4ReNQOWDOGYNq7K/view?usp=drivesdk</x:v>
      </x:c>
    </x:row>
    <x:row r="77" ht="112" customHeight="1">
      <x:c r="A77" s="28" t="str">
        <x:v>M071</x:v>
      </x:c>
      <x:c r="B77" s="28" t="str">
        <x:v>P1</x:v>
      </x:c>
      <x:c r="C77" s="28" t="str">
        <x:v>Face</x:v>
      </x:c>
      <x:c r="D77" s="28" t="str">
        <x:v>Retired AWS resources</x:v>
      </x:c>
      <x:c r="E77" s="28" t="str">
        <x:v>Inventory and obtain scoped authorization to retire old face-only AWS data and credentials</x:v>
      </x:c>
      <x:c r="F77" s="28" t="str">
        <x:v>Not started</x:v>
      </x:c>
      <x:c r="G77" s="28"/>
      <x:c r="H77" s="28" t="str">
        <x:v>Platform + security + privacy</x:v>
      </x:c>
      <x:c r="I77" s="28" t="str">
        <x:v>M</x:v>
      </x:c>
      <x:c r="J77" s="28" t="str">
        <x:v>M001; M065</x:v>
      </x:c>
      <x:c r="K77" s="28" t="str">
        <x:v>Read-only account/resource inventory and owner decision; separately authorized named-resource deletion/key retirement receipts; no active AWS fallback and no unrelated shared resource loss.</x:v>
      </x:c>
      <x:c r="L77" s="28" t="str">
        <x:v>Retired source paths do not demonstrate deletion of live collections or old IAM authority.</x:v>
      </x:c>
      <x:c r="M77" s="28" t="str">
        <x:v>docs/operations/face-ussd-runbook.md; audit/privacy_review.md PRIV-12; audit/operations_review.md O21
Original source: https://drive.google.com/file/d/1vZVjzSVzBGDPvEDyH5wTO996VJbSCDGt/view?usp=drivesdk</x:v>
      </x:c>
    </x:row>
    <x:row r="78" ht="112" customHeight="1">
      <x:c r="A78" s="28" t="str">
        <x:v>M072</x:v>
      </x:c>
      <x:c r="B78" s="28" t="str">
        <x:v>P1</x:v>
      </x:c>
      <x:c r="C78" s="28" t="str">
        <x:v>Core</x:v>
      </x:c>
      <x:c r="D78" s="28" t="str">
        <x:v>Age boundaries</x:v>
      </x:c>
      <x:c r="E78" s="28" t="str">
        <x:v>Decide and implement proportionate age rules for passenger, driver and face functions</x:v>
      </x:c>
      <x:c r="F78" s="28" t="str">
        <x:v>Not started</x:v>
      </x:c>
      <x:c r="G78" s="28"/>
      <x:c r="H78" s="28" t="str">
        <x:v>Product + privacy + qualified counsel</x:v>
      </x:c>
      <x:c r="I78" s="28" t="str">
        <x:v>M</x:v>
      </x:c>
      <x:c r="J78" s="28" t="str">
        <x:v>M065; M067</x:v>
      </x:c>
      <x:c r="K78" s="28" t="str">
        <x:v>Consistent per-role policy and proportionate declaration/restriction; underage reports and applicable guardian handling documented; no unnecessary identity-document collection introduced.</x:v>
      </x:c>
      <x:c r="L78" s="28" t="str">
        <x:v>Public policy says 16 but inspected account/face paths do not enforce an age-specific rule.</x:v>
      </x:c>
      <x:c r="M78" s="28" t="str">
        <x:v>landing/terms-and-conditions.html; landing/privacy-policy.html; audit/privacy_review.md PRIV-11; Rwanda Law 058/2021 Art 9
Original source: https://drive.google.com/file/d/1zQH0mmbadmfJtnEBxNkyZUnkm3Uv2LQJ/view?usp=drivesdk
https://drive.google.com/file/d/1QOqPjNkyg8GlrM5Nmh1pLQlqLHpKHeTY/view?usp=drivesdk</x:v>
      </x:c>
    </x:row>
    <x:row r="79" ht="112" customHeight="1">
      <x:c r="A79" s="28" t="str">
        <x:v>M073</x:v>
      </x:c>
      <x:c r="B79" s="28" t="str">
        <x:v>P1</x:v>
      </x:c>
      <x:c r="C79" s="28" t="str">
        <x:v>Core</x:v>
      </x:c>
      <x:c r="D79" s="28" t="str">
        <x:v>WhatsApp operating contract</x:v>
      </x:c>
      <x:c r="E79" s="28" t="str">
        <x:v>Verify live authentication templates/delivery and separate marketing permissions</x:v>
      </x:c>
      <x:c r="F79" s="28" t="str">
        <x:v>Not started</x:v>
      </x:c>
      <x:c r="G79" s="28"/>
      <x:c r="H79" s="28" t="str">
        <x:v>Messaging operations + backend + privacy</x:v>
      </x:c>
      <x:c r="I79" s="28" t="str">
        <x:v>M</x:v>
      </x:c>
      <x:c r="J79" s="28" t="str">
        <x:v>M012; M068; M091</x:v>
      </x:c>
      <x:c r="K79" s="28" t="str">
        <x:v>Approved WABA/number/template/category/language/components and supported Graph version recorded; real device delivery/resend/expired-code/outage recovery tested; campaign opt-out suppresses future promotional sends.</x:v>
      </x:c>
      <x:c r="L79" s="28" t="str">
        <x:v>Configurable template payloads and API version do not prove live approval; login intent is not permission for campaigns.</x:v>
      </x:c>
      <x:c r="M79" s="28" t="str">
        <x:v>supabase/functions/_shared/whatsapp-cloud.ts; audit/privacy_review.md sections 4, PRIV-10; https://whatsappbusiness.com/policy/; https://whatsappbusiness.com/products/conversation-categories/authentication/
Original source: https://drive.google.com/file/d/12qJwdf1UXnXqeY3d1I9ttnFYZhMZ77pT/view?usp=drivesdk</x:v>
      </x:c>
    </x:row>
    <x:row r="80" ht="112" customHeight="1">
      <x:c r="A80" s="28" t="str">
        <x:v>M074</x:v>
      </x:c>
      <x:c r="B80" s="28" t="str">
        <x:v>P1</x:v>
      </x:c>
      <x:c r="C80" s="28" t="str">
        <x:v>Core</x:v>
      </x:c>
      <x:c r="D80" s="28" t="str">
        <x:v>CI correctness</x:v>
      </x:c>
      <x:c r="E80" s="28" t="str">
        <x:v>Repair Actions pin validation to permit local reusable workflows and reject unpinned remote actions</x:v>
      </x:c>
      <x:c r="F80" s="28" t="str">
        <x:v>Not started</x:v>
      </x:c>
      <x:c r="G80" s="28"/>
      <x:c r="H80" s="28" t="str">
        <x:v>DevOps</x:v>
      </x:c>
      <x:c r="I80" s="28" t="str">
        <x:v>S</x:v>
      </x:c>
      <x:c r="J80" s="28" t="str">
        <x:v>None</x:v>
      </x:c>
      <x:c r="K80" s="28" t="str">
        <x:v>Actual source pin gate exits zero; valid local fixture passes and tagged/unpinned remote fixtures fail; parser distinguishes reusable workflow and remote action syntax.</x:v>
      </x:c>
      <x:c r="L80" s="28" t="str">
        <x:v>Mandatory current pin script fails on valid ./.github/workflows/cloudflare-pwa.yml and blocks its calling CI job.</x:v>
      </x:c>
      <x:c r="M80" s="28" t="str">
        <x:v>scripts/ci/check_github_actions_pinned.sh:12-17; .github/workflows/cloudflare-pages.yml:18; audit/operations_review.md OPS-01; audit/operations_validation.json
Original source: https://drive.google.com/file/d/1At2ltdJVK8kpZQsV92HybbTqStAYqLvs/view?usp=drivesdk
https://drive.google.com/file/d/1-OxjhMZxQ5KAMfLShQpBK7KFY4hhAwk_/view?usp=drivesdk</x:v>
      </x:c>
    </x:row>
    <x:row r="81" ht="112" customHeight="1">
      <x:c r="A81" s="28" t="str">
        <x:v>M075</x:v>
      </x:c>
      <x:c r="B81" s="28" t="str">
        <x:v>P1</x:v>
      </x:c>
      <x:c r="C81" s="28" t="str">
        <x:v>Core</x:v>
      </x:c>
      <x:c r="D81" s="28" t="str">
        <x:v>Release gate truth</x:v>
      </x:c>
      <x:c r="E81" s="28" t="str">
        <x:v>Make skipped/unavailable required checks non-releasable and wire aggregate gates into promotion</x:v>
      </x:c>
      <x:c r="F81" s="28" t="str">
        <x:v>Not started</x:v>
      </x:c>
      <x:c r="G81" s="28"/>
      <x:c r="H81" s="28" t="str">
        <x:v>Release engineer + DevOps</x:v>
      </x:c>
      <x:c r="I81" s="28" t="str">
        <x:v>M</x:v>
      </x:c>
      <x:c r="J81" s="28" t="str">
        <x:v>M074</x:v>
      </x:c>
      <x:c r="K81" s="28" t="str">
        <x:v>Production invocation rejects disabling mandatory child checks; pass/failed/skipped/unavailable have distinct status; Android/PWA/services promotion requires all applicable gates for one exact artifact.</x:v>
      </x:c>
      <x:c r="L81" s="28" t="str">
        <x:v>Nested helper prints PASS when both tests are skipped; release paths do not uniformly require aggregate evidence.</x:v>
      </x:c>
      <x:c r="M81" s="28" t="str">
        <x:v>scripts/qa/verify_mobio_feature_readiness.sh; scripts/release/go_no_go_check.sh; .github/workflows; audit/validation_review.md IV-06; audit/operations_review.md OPS-02
Original source: https://drive.google.com/file/d/1MjilpuX-zUbut_W8msIPYSkYByKKEDyS/view?usp=drivesdk
https://drive.google.com/file/d/1yPZR9Gs5lDexBEVawYsye7XvWWZ4NvAj/view?usp=drivesdk</x:v>
      </x:c>
    </x:row>
    <x:row r="82" ht="112" customHeight="1">
      <x:c r="A82" s="28" t="str">
        <x:v>M076</x:v>
      </x:c>
      <x:c r="B82" s="28" t="str">
        <x:v>P1</x:v>
      </x:c>
      <x:c r="C82" s="28" t="str">
        <x:v>Core</x:v>
      </x:c>
      <x:c r="D82" s="28" t="str">
        <x:v>Visual acceptance</x:v>
      </x:c>
      <x:c r="E82" s="28" t="str">
        <x:v>Resolve unaccepted reference goldens against the approved design and rerun the full Flutter suite</x:v>
      </x:c>
      <x:c r="F82" s="28" t="str">
        <x:v>Not started</x:v>
      </x:c>
      <x:c r="G82" s="28"/>
      <x:c r="H82" s="28" t="str">
        <x:v>QA + design + Flutter</x:v>
      </x:c>
      <x:c r="I82" s="28" t="str">
        <x:v>M</x:v>
      </x:c>
      <x:c r="J82" s="28" t="str">
        <x:v>M074</x:v>
      </x:c>
      <x:c r="K82" s="28" t="str">
        <x:v>Each difference classified as intended or regression; only reviewed baselines change; complete suite including reference goldens passes on pinned toolchain with revision-linked results.</x:v>
      </x:c>
      <x:c r="L82" s="28" t="str">
        <x:v>Historical 812 passing tests excluded standalone reference goldens while regular CI includes them.</x:v>
      </x:c>
      <x:c r="M82" s="28" t="str">
        <x:v>docs/product/face-ussd-20260920/IMPLEMENTATION_REPORT.md; test reference golden suite; .github/workflows/ci.yml; audit/operations_review.md OPS-11
Original source: https://drive.google.com/file/d/13toaULZ0qSRF3mcOySrbey9WeHRMSidj/view?usp=drivesdk
https://drive.google.com/file/d/1M2OuVXPXNwY34djuk7wjKwcYCIb6BUUv/view?usp=drivesdk</x:v>
      </x:c>
    </x:row>
    <x:row r="83" ht="112" customHeight="1">
      <x:c r="A83" s="28" t="str">
        <x:v>M077</x:v>
      </x:c>
      <x:c r="B83" s="28" t="str">
        <x:v>P1</x:v>
      </x:c>
      <x:c r="C83" s="28" t="str">
        <x:v>Core</x:v>
      </x:c>
      <x:c r="D83" s="28" t="str">
        <x:v>Coverage in CI</x:v>
      </x:c>
      <x:c r="E83" s="28" t="str">
        <x:v>Add required checks for every shipped implementation and native collector</x:v>
      </x:c>
      <x:c r="F83" s="28" t="str">
        <x:v>Not started</x:v>
      </x:c>
      <x:c r="G83" s="28"/>
      <x:c r="H83" s="28" t="str">
        <x:v>DevOps + subsystem owners</x:v>
      </x:c>
      <x:c r="I83" s="28" t="str">
        <x:v>M</x:v>
      </x:c>
      <x:c r="J83" s="28" t="str">
        <x:v>M074; M075</x:v>
      </x:c>
      <x:c r="K83" s="28" t="str">
        <x:v>Flutter/Deno/Node/Python, real Linux image/model smoke, Android bridge unit/component and native release jobs run on applicable changes; a deliberate regression in each implementation blocks promotion.</x:v>
      </x:c>
      <x:c r="L83" s="28" t="str">
        <x:v>Worker/Python/container/face SQL and SMS bridge changes are not all represented in required current CI.</x:v>
      </x:c>
      <x:c r="M83" s="28" t="str">
        <x:v>cloudflare/face-service; services/face-inference; apps/momobio_sms_bridge; .github/workflows; audit/operations_review.md OPS-03
Original source: https://drive.google.com/drive/folders/19o_yD0w45xyCjxqocqBX8S9_0aHuBfgO
https://drive.google.com/drive/folders/11tIJA6XGeIAUuubqLpB4LNw2zwvt1qXT</x:v>
      </x:c>
    </x:row>
    <x:row r="84" ht="112" customHeight="1">
      <x:c r="A84" s="28" t="str">
        <x:v>M078</x:v>
      </x:c>
      <x:c r="B84" s="28" t="str">
        <x:v>P1</x:v>
      </x:c>
      <x:c r="C84" s="28" t="str">
        <x:v>Core</x:v>
      </x:c>
      <x:c r="D84" s="28" t="str">
        <x:v>Database rehearsal</x:v>
      </x:c>
      <x:c r="E84" s="28" t="str">
        <x:v>Run all migrations on clean PostgreSQL 17 and a representative forward-upgrade copy</x:v>
      </x:c>
      <x:c r="F84" s="28" t="str">
        <x:v>Not started</x:v>
      </x:c>
      <x:c r="G84" s="28"/>
      <x:c r="H84" s="28" t="str">
        <x:v>DBA + backend QA</x:v>
      </x:c>
      <x:c r="I84" s="28" t="str">
        <x:v>L</x:v>
      </x:c>
      <x:c r="J84" s="28" t="str">
        <x:v>M003; M015; M017; M018; M019</x:v>
      </x:c>
      <x:c r="K84" s="28" t="str">
        <x:v>Clean reset and sanitized production-like upgrade succeed; effective functions/policies/grants/extensions/jobs diff to intended state; constraints and data reconciliation pass; rollback/forward-repair plan reviewed.</x:v>
      </x:c>
      <x:c r="L84" s="28" t="str">
        <x:v>Static migration review cannot prove full effective schema, order, runtime compatibility or production drift.</x:v>
      </x:c>
      <x:c r="M84" s="28" t="str">
        <x:v>supabase/migrations; audit/backend_effective_functions_static.json; audit/backend_review.md B-T09; audit/validation_review.md execution limits
Original source: https://drive.google.com/drive/folders/1HA6rpjdCjYgaKurjtxuEgkL6y1DJRuU7</x:v>
      </x:c>
    </x:row>
    <x:row r="85" ht="112" customHeight="1">
      <x:c r="A85" s="28" t="str">
        <x:v>M079</x:v>
      </x:c>
      <x:c r="B85" s="28" t="str">
        <x:v>P1</x:v>
      </x:c>
      <x:c r="C85" s="28" t="str">
        <x:v>Core</x:v>
      </x:c>
      <x:c r="D85" s="28" t="str">
        <x:v>Adversarial authorization</x:v>
      </x:c>
      <x:c r="E85" s="28" t="str">
        <x:v>Run a real database/Edge authorization and transaction matrix after remediation</x:v>
      </x:c>
      <x:c r="F85" s="28" t="str">
        <x:v>Not started</x:v>
      </x:c>
      <x:c r="G85" s="28"/>
      <x:c r="H85" s="28" t="str">
        <x:v>Security QA + backend</x:v>
      </x:c>
      <x:c r="I85" s="28" t="str">
        <x:v>L</x:v>
      </x:c>
      <x:c r="J85" s="28" t="str">
        <x:v>M003; M004; M015; M016; M078</x:v>
      </x:c>
      <x:c r="K85" s="28" t="str">
        <x:v>Anonymous, expired/revoked, passenger, driver, owner/nonowner, admin-purpose and service roles tested through real interfaces; identity, direct-update, concurrency, replay and cross-tenant negatives pass.</x:v>
      </x:c>
      <x:c r="L85" s="28" t="str">
        <x:v>Mock/source reproduction is strong evidence of risk but not an executed RLS/transaction/security integration result.</x:v>
      </x:c>
      <x:c r="M85" s="28" t="str">
        <x:v>audit/validation_review.md; audit/backend_review.md; supabase/functions; supabase/migrations
Original source: https://drive.google.com/drive/folders/1HA6rpjdCjYgaKurjtxuEgkL6y1DJRuU7
https://drive.google.com/drive/folders/1l5OIu5zSjUzWrwkfS9W9cBN2ocmKUI07</x:v>
      </x:c>
    </x:row>
    <x:row r="86" ht="112" customHeight="1">
      <x:c r="A86" s="28" t="str">
        <x:v>M080</x:v>
      </x:c>
      <x:c r="B86" s="28" t="str">
        <x:v>P1</x:v>
      </x:c>
      <x:c r="C86" s="28" t="str">
        <x:v>Core</x:v>
      </x:c>
      <x:c r="D86" s="28" t="str">
        <x:v>Production controls</x:v>
      </x:c>
      <x:c r="E86" s="28" t="str">
        <x:v>Read back actual repository/environment protections, secrets and promotion roles</x:v>
      </x:c>
      <x:c r="F86" s="28" t="str">
        <x:v>Not started</x:v>
      </x:c>
      <x:c r="G86" s="28"/>
      <x:c r="H86" s="28" t="str">
        <x:v>Security + release owner</x:v>
      </x:c>
      <x:c r="I86" s="28" t="str">
        <x:v>S</x:v>
      </x:c>
      <x:c r="J86" s="28" t="str">
        <x:v>M001; M002; M075</x:v>
      </x:c>
      <x:c r="K86" s="28" t="str">
        <x:v>Current branch/environment rules, required checks, reviewer separation and secret scope recorded for actual repository/account plan; least-privilege deployment roles and emergency path tested without publishing.</x:v>
      </x:c>
      <x:c r="L86" s="28" t="str">
        <x:v>Workflow YAML and PROD_RELEASE_ENABLED variables do not establish remote protection rules or account authority.</x:v>
      </x:c>
      <x:c r="M86" s="28" t="str">
        <x:v>audit/operations_review.md O14; .github/workflows; audit/git_metadata provenance
Original source: https://drive.google.com/drive/folders/1Do2o7oLKmnkMMkm4NtPTCchKEN_zu4tK</x:v>
      </x:c>
    </x:row>
    <x:row r="87" ht="112" customHeight="1">
      <x:c r="A87" s="28" t="str">
        <x:v>M081</x:v>
      </x:c>
      <x:c r="B87" s="28" t="str">
        <x:v>P1</x:v>
      </x:c>
      <x:c r="C87" s="28" t="str">
        <x:v>Core</x:v>
      </x:c>
      <x:c r="D87" s="28" t="str">
        <x:v>Release evidence</x:v>
      </x:c>
      <x:c r="E87" s="28" t="str">
        <x:v>Bind source, artifacts, migrations, model policy and approvals in a structured release manifest</x:v>
      </x:c>
      <x:c r="F87" s="28" t="str">
        <x:v>Not started</x:v>
      </x:c>
      <x:c r="G87" s="28"/>
      <x:c r="H87" s="28" t="str">
        <x:v>Release engineer</x:v>
      </x:c>
      <x:c r="I87" s="28" t="str">
        <x:v>M</x:v>
      </x:c>
      <x:c r="J87" s="28" t="str">
        <x:v>M075; M078; M080</x:v>
      </x:c>
      <x:c r="K87" s="28" t="str">
        <x:v>Exact commit plus working-tree state, artifact hashes, version equality, migration/model identifiers, environment, reviewer/date and full check receipts validated; stale/example/wrong-artifact/prefix fixtures rejected.</x:v>
      </x:c>
      <x:c r="L87" s="28" t="str">
        <x:v>Current acknowledgement/file-presence checks accept weak evidence and a version prefix can match the wrong Play version.</x:v>
      </x:c>
      <x:c r="M87" s="28" t="str">
        <x:v>scripts/release/go_no_go_check.sh:40-67,123; docs/product/face-ussd-20260920/IMPLEMENTATION_REPORT.md; audit/operations_review.md OPS-10
Original source: https://drive.google.com/file/d/13toaULZ0qSRF3mcOySrbey9WeHRMSidj/view?usp=drivesdk
https://drive.google.com/file/d/1yPZR9Gs5lDexBEVawYsye7XvWWZ4NvAj/view?usp=drivesdk</x:v>
      </x:c>
    </x:row>
    <x:row r="88" ht="112" customHeight="1">
      <x:c r="A88" s="28" t="str">
        <x:v>M082</x:v>
      </x:c>
      <x:c r="B88" s="28" t="str">
        <x:v>P2</x:v>
      </x:c>
      <x:c r="C88" s="28" t="str">
        <x:v>Core</x:v>
      </x:c>
      <x:c r="D88" s="28" t="str">
        <x:v>Dependency security</x:v>
      </x:c>
      <x:c r="E88" s="28" t="str">
        <x:v>Pin reproducible toolchains and cover all dependency/container ecosystems with update and advisory review</x:v>
      </x:c>
      <x:c r="F88" s="28" t="str">
        <x:v>Not started</x:v>
      </x:c>
      <x:c r="G88" s="28"/>
      <x:c r="H88" s="28" t="str">
        <x:v>DevSecOps + maintainers</x:v>
      </x:c>
      <x:c r="I88" s="28" t="str">
        <x:v>M</x:v>
      </x:c>
      <x:c r="J88" s="28" t="str">
        <x:v>M077</x:v>
      </x:c>
      <x:c r="K88" s="28" t="str">
        <x:v>Deno/Node/pnpm/Wrangler/container toolchain fixed to tested versions; update coverage and actual advisory triage documented; clean builds reproduce; upgrades are risk-reviewed rather than indiscriminate.</x:v>
      </x:c>
      <x:c r="L88" s="28" t="str">
        <x:v>Current updates omit new npm/Python/Docker paths; Deno and Wrangler invocations can drift.</x:v>
      </x:c>
      <x:c r="M88" s="28" t="str">
        <x:v>.github/dependabot.yml; .github/workflows; cloudflare/face-service/package.json; services/face-inference; audit/operations_review.md OPS-08
Original source: https://drive.google.com/file/d/1_LsmRout-ReXNuDQEpeAFl8lTKtAAImX/view?usp=drivesdk
https://drive.google.com/drive/folders/1kQsuocMDtXnp20aRwLKuojC9WoYP7bjd</x:v>
      </x:c>
    </x:row>
    <x:row r="89" ht="112" customHeight="1">
      <x:c r="A89" s="28" t="str">
        <x:v>M083</x:v>
      </x:c>
      <x:c r="B89" s="28" t="str">
        <x:v>P2</x:v>
      </x:c>
      <x:c r="C89" s="28" t="str">
        <x:v>Core</x:v>
      </x:c>
      <x:c r="D89" s="28" t="str">
        <x:v>Supply-chain records</x:v>
      </x:c>
      <x:c r="E89" s="28" t="str">
        <x:v>Produce verified SBOM/provenance and retain licences, symbols and source maps for supported releases</x:v>
      </x:c>
      <x:c r="F89" s="28" t="str">
        <x:v>Not started</x:v>
      </x:c>
      <x:c r="G89" s="28"/>
      <x:c r="H89" s="28" t="str">
        <x:v>DevSecOps + release</x:v>
      </x:c>
      <x:c r="I89" s="28" t="str">
        <x:v>M</x:v>
      </x:c>
      <x:c r="J89" s="28" t="str">
        <x:v>M081; M082</x:v>
      </x:c>
      <x:c r="K89" s="28" t="str">
        <x:v>Distributed artifact SBOM and provenance verify against release hashes; model/SDK licences archived; symbol/source-map access and crash symbolication tested for supported versions.</x:v>
      </x:c>
      <x:c r="L89" s="28" t="str">
        <x:v>No repository workflow establishes release component inventory, attestations or long-lived diagnostic artifact retention.</x:v>
      </x:c>
      <x:c r="M89" s="28" t="str">
        <x:v>audit/operations_review.md OPS-08,O16; https://docs.github.com/en/actions/concepts/security/artifact-attestations</x:v>
      </x:c>
    </x:row>
    <x:row r="90" ht="112" customHeight="1">
      <x:c r="A90" s="28" t="str">
        <x:v>M084</x:v>
      </x:c>
      <x:c r="B90" s="28" t="str">
        <x:v>P1</x:v>
      </x:c>
      <x:c r="C90" s="28" t="str">
        <x:v>Core</x:v>
      </x:c>
      <x:c r="D90" s="28" t="str">
        <x:v>Observability</x:v>
      </x:c>
      <x:c r="E90" s="28" t="str">
        <x:v>Instrument privacy-safe service and client health with owned actionable alerts</x:v>
      </x:c>
      <x:c r="F90" s="28" t="str">
        <x:v>Not started</x:v>
      </x:c>
      <x:c r="G90" s="28"/>
      <x:c r="H90" s="28" t="str">
        <x:v>SRE + backend + mobile</x:v>
      </x:c>
      <x:c r="I90" s="28" t="str">
        <x:v>M</x:v>
      </x:c>
      <x:c r="J90" s="28" t="str">
        <x:v>M032; M034; M037; M056</x:v>
      </x:c>
      <x:c r="K90" s="28" t="str">
        <x:v>Dashboards cover auth, latency/errors, face busy/cleanup, receipt-to-credit, notification backlog, crashes/ANRs and stale presence; named owners/budgets; induced failure alerts correctly with no raw faces, vectors, OTPs or financial identifiers.</x:v>
      </x:c>
      <x:c r="L90" s="28" t="str">
        <x:v>Face Worker observability is disabled and operational runbooks lack concrete SLO/alert ownership; provider platform metrics alone are insufficient.</x:v>
      </x:c>
      <x:c r="M90" s="28" t="str">
        <x:v>cloudflare/face-service/wrangler.jsonc:8; services/face-inference/server.py:7; docs/operations/README.md; audit/operations_review.md OPS-06
Original source: https://drive.google.com/file/d/10XfUXtvPdRtBHiWA9yhRro_v6glk8XvJ/view?usp=drivesdk
https://drive.google.com/file/d/1UjDIz7n8Uk4OhFXYNLmB3vShd_P1ziTY/view?usp=drivesdk</x:v>
      </x:c>
    </x:row>
    <x:row r="91" ht="112" customHeight="1">
      <x:c r="A91" s="28" t="str">
        <x:v>M085</x:v>
      </x:c>
      <x:c r="B91" s="28" t="str">
        <x:v>P1</x:v>
      </x:c>
      <x:c r="C91" s="28" t="str">
        <x:v>Core</x:v>
      </x:c>
      <x:c r="D91" s="28" t="str">
        <x:v>Recovery</x:v>
      </x:c>
      <x:c r="E91" s="28" t="str">
        <x:v>Define RPO/RTO and rehearse isolated database, Storage, configuration and vector recovery</x:v>
      </x:c>
      <x:c r="F91" s="28" t="str">
        <x:v>Not started</x:v>
      </x:c>
      <x:c r="G91" s="28"/>
      <x:c r="H91" s="28" t="str">
        <x:v>DBA + SRE + privacy</x:v>
      </x:c>
      <x:c r="I91" s="28" t="str">
        <x:v>L</x:v>
      </x:c>
      <x:c r="J91" s="28" t="str">
        <x:v>M065; M070; M078</x:v>
      </x:c>
      <x:c r="K91" s="28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L91" s="28" t="str">
        <x:v>Schema backup and database backup alone do not restore customer data, Storage objects, secrets/bindings or enrollment state.</x:v>
      </x:c>
      <x:c r="M91" s="28" t="str">
        <x:v>docs/operations/face-ussd-runbook.md; audit/operations_review.md OPS-07; https://supabase.com/docs/guides/platform/backups
Original source: https://drive.google.com/file/d/1vZVjzSVzBGDPvEDyH5wTO996VJbSCDGt/view?usp=drivesdk
https://drive.google.com/drive/folders/1VeEGNOl32YcDgwjU7FZhqwcj_7Vyqy6c</x:v>
      </x:c>
    </x:row>
    <x:row r="92" ht="112" customHeight="1">
      <x:c r="A92" s="28" t="str">
        <x:v>M086</x:v>
      </x:c>
      <x:c r="B92" s="28" t="str">
        <x:v>P1</x:v>
      </x:c>
      <x:c r="C92" s="28" t="str">
        <x:v>Core</x:v>
      </x:c>
      <x:c r="D92" s="28" t="str">
        <x:v>Incident response</x:v>
      </x:c>
      <x:c r="E92" s="28" t="str">
        <x:v>Rehearse security/privacy/financial incident ownership and escalation</x:v>
      </x:c>
      <x:c r="F92" s="28" t="str">
        <x:v>Not started</x:v>
      </x:c>
      <x:c r="G92" s="28"/>
      <x:c r="H92" s="28" t="str">
        <x:v>Security + privacy + SRE + payments</x:v>
      </x:c>
      <x:c r="I92" s="28" t="str">
        <x:v>M</x:v>
      </x:c>
      <x:c r="J92" s="28" t="str">
        <x:v>M001; M023; M066; M084</x:v>
      </x:c>
      <x:c r="K92" s="28" t="str">
        <x:v>Tabletop covers key exposure, wrong credit, lost collector and biometric/PII event; evidence preservation, containment and contacts tested; applicable Rwanda 48-hour notice/72-hour report clocks reviewed by counsel.</x:v>
      </x:c>
      <x:c r="L92" s="28" t="str">
        <x:v>Public folder exposure and financial authority risks make an actionable response process necessary; organization-specific response evidence was not supplied.</x:v>
      </x:c>
      <x:c r="M92" s="28" t="str">
        <x:v>audit/privacy_review.md PR-T19; audit/operations_review.md OPS-06; Rwanda Law 058/2021 Arts 43-44
Official source: https://cyber.gov.rw/fileadmin/user_upload/NCSA/Documents/Laws/OG_Special_of_15.10.2021_Amakuru_bwite.pdf</x:v>
      </x:c>
    </x:row>
    <x:row r="93" ht="112" customHeight="1">
      <x:c r="A93" s="28" t="str">
        <x:v>M087</x:v>
      </x:c>
      <x:c r="B93" s="28" t="str">
        <x:v>P1</x:v>
      </x:c>
      <x:c r="C93" s="28" t="str">
        <x:v>Core</x:v>
      </x:c>
      <x:c r="D93" s="28" t="str">
        <x:v>Rollout and rollback</x:v>
      </x:c>
      <x:c r="E93" s="28" t="str">
        <x:v>Exercise staged release, kill switches and compatible rollback for each enabled surface</x:v>
      </x:c>
      <x:c r="F93" s="28" t="str">
        <x:v>Not started</x:v>
      </x:c>
      <x:c r="G93" s="28"/>
      <x:c r="H93" s="28" t="str">
        <x:v>Release + SRE + product</x:v>
      </x:c>
      <x:c r="I93" s="28" t="str">
        <x:v>M</x:v>
      </x:c>
      <x:c r="J93" s="28" t="str">
        <x:v>M062; M081; M084; M085</x:v>
      </x:c>
      <x:c r="K93" s="28" t="str">
        <x:v>Internal/staged promotion uses defined stop criteria; last-known-good artifacts/configs identified; schema compatibility or forward repair tested; face can be disabled while accepted manual/QR flows continue.</x:v>
      </x:c>
      <x:c r="L93" s="28" t="str">
        <x:v>No current end-to-end rollback receipt proves coordinated recovery across app, web, Edge, schema and face services.</x:v>
      </x:c>
      <x:c r="M93" s="28" t="str">
        <x:v>docs/operations/face-ussd-runbook.md; .github/workflows/android-release.yml; audit/operations_review.md O19
Original source: https://drive.google.com/file/d/1w_uWBznlC3jNzjHFewL1FSjnmE9qVCmO/view?usp=drivesdk
https://drive.google.com/file/d/1vZVjzSVzBGDPvEDyH5wTO996VJbSCDGt/view?usp=drivesdk</x:v>
      </x:c>
    </x:row>
    <x:row r="94" ht="112" customHeight="1">
      <x:c r="A94" s="28" t="str">
        <x:v>M088</x:v>
      </x:c>
      <x:c r="B94" s="28" t="str">
        <x:v>P1</x:v>
      </x:c>
      <x:c r="C94" s="28" t="str">
        <x:v>Core</x:v>
      </x:c>
      <x:c r="D94" s="28" t="str">
        <x:v>Launch acceptance</x:v>
      </x:c>
      <x:c r="E94" s="28" t="str">
        <x:v>Run a version-bound end-to-end matrix on staging and release-candidate devices</x:v>
      </x:c>
      <x:c r="F94" s="28" t="str">
        <x:v>Not started</x:v>
      </x:c>
      <x:c r="G94" s="28"/>
      <x:c r="H94" s="28" t="str">
        <x:v>QA lead + release + feature owners</x:v>
      </x:c>
      <x:c r="I94" s="28" t="str">
        <x:v>L</x:v>
      </x:c>
      <x:c r="J94" s="28" t="str">
        <x:v>M044; M046; M049; M052; M060; M073; M079; M081; M040 if Face enabled</x:v>
      </x:c>
      <x:c r="K94" s="28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L94" s="28" t="str">
        <x:v>Historical passes and fixture tests do not verify current real providers, migrations, operator handoff or signed devices.</x:v>
      </x:c>
      <x:c r="M94" s="28" t="str">
        <x:v>audit/platform_review.md device matrix; audit/flutter_review.md acceptance; audit/validation_review.md section 3; docs/product/face-ussd-20260920/IMPLEMENTATION_REPORT.md
Original source: https://drive.google.com/file/d/13toaULZ0qSRF3mcOySrbey9WeHRMSidj/view?usp=drivesdk</x:v>
      </x:c>
    </x:row>
    <x:row r="95" ht="112" customHeight="1">
      <x:c r="A95" s="28" t="str">
        <x:v>M089</x:v>
      </x:c>
      <x:c r="B95" s="28" t="str">
        <x:v>P1</x:v>
      </x:c>
      <x:c r="C95" s="28" t="str">
        <x:v>Core</x:v>
      </x:c>
      <x:c r="D95" s="28" t="str">
        <x:v>Support and moderation</x:v>
      </x:c>
      <x:c r="E95" s="28" t="str">
        <x:v>Operationalize existing report/block controls, account recovery and financial exception handling</x:v>
      </x:c>
      <x:c r="F95" s="28" t="str">
        <x:v>Not started</x:v>
      </x:c>
      <x:c r="G95" s="28"/>
      <x:c r="H95" s="28" t="str">
        <x:v>Support operations + product + trust/safety</x:v>
      </x:c>
      <x:c r="I95" s="28" t="str">
        <x:v>M</x:v>
      </x:c>
      <x:c r="J95" s="28" t="str">
        <x:v>M009; M023; M069; M073; M084</x:v>
      </x:c>
      <x:c r="K95" s="28" t="str">
        <x:v>Named queues/response targets and escalation paths; staged report/block/unblock, lost WhatsApp access, deletion and disputed receipt drills close with an audit trail; no PIN collection or improvised auth bypass.</x:v>
      </x:c>
      <x:c r="L95" s="28" t="str">
        <x:v>Client moderation controls exist, but launch requires staffed ownership, escalation and abuse/support outcomes.</x:v>
      </x:c>
      <x:c r="M95" s="28" t="str">
        <x:v>lib/features/chat/data/chat_service.dart:63-143; lib/features/chat/presentation/chat_screen.dart; docs/operations/README.md; audit/flutter_review.md strengths; audit/privacy_review.md section 4
Original source: https://drive.google.com/file/d/12n5FHLFgRu9NPOsRAb9HFFgWAIIaol3b/view?usp=drivesdk
https://drive.google.com/file/d/1BrgbaLACv8-s6Hop1vdwBt8E9gvQ61E_/view?usp=drivesdk</x:v>
      </x:c>
    </x:row>
    <x:row r="96" ht="112" customHeight="1">
      <x:c r="A96" s="28" t="str">
        <x:v>M090</x:v>
      </x:c>
      <x:c r="B96" s="28" t="str">
        <x:v>P2</x:v>
      </x:c>
      <x:c r="C96" s="28" t="str">
        <x:v>Core</x:v>
      </x:c>
      <x:c r="D96" s="28" t="str">
        <x:v>Source and scope documentation</x:v>
      </x:c>
      <x:c r="E96" s="28" t="str">
        <x:v>Publish a clean reproducible source manifest and one current feature/release status map</x:v>
      </x:c>
      <x:c r="F96" s="28" t="str">
        <x:v>Not started</x:v>
      </x:c>
      <x:c r="G96" s="28"/>
      <x:c r="H96" s="28" t="str">
        <x:v>Repository maintainer + product + release</x:v>
      </x:c>
      <x:c r="I96" s="28" t="str">
        <x:v>M</x:v>
      </x:c>
      <x:c r="J96" s="28" t="str">
        <x:v>M001; M081</x:v>
      </x:c>
      <x:c r="K96" s="28" t="str">
        <x:v>Source, generated files and intentionally retained release evidence separated without indiscriminate deletion; exact provenance/dirty state recorded; current scope links superseded documents; clean checkout reproduces required builds.</x:v>
      </x:c>
      <x:c r="L96" s="28" t="str">
        <x:v>Drive includes generated caches and older conflicting evidence; snapshot bytes are not automatically an immutable Git release.</x:v>
      </x:c>
      <x:c r="M96" s="28" t="str">
        <x:v>audit/git_index_inventory.json; audit/root_inventory.json; README.md; AGENTS.md; docs/product/face-ussd-20260920/APPROVAL.md; audit/operations_review.md OPS-12
Original source: https://drive.google.com/file/d/1Ql7MVmCXqbgiB8DwU11kDXAjNmRtYF-k/view?usp=drivesdk
https://drive.google.com/file/d/1vnBbpRv1TLxzzBiWw9oHhqdKtdegRYSa/view?usp=drivesdk</x:v>
      </x:c>
    </x:row>
    <x:row r="97" ht="112" customHeight="1">
      <x:c r="A97" s="28" t="str">
        <x:v>M091</x:v>
      </x:c>
      <x:c r="B97" s="28" t="str">
        <x:v>P1</x:v>
      </x:c>
      <x:c r="C97" s="28" t="str">
        <x:v>Core</x:v>
      </x:c>
      <x:c r="D97" s="28" t="str">
        <x:v>Provider resilience and budgets</x:v>
      </x:c>
      <x:c r="E97" s="28" t="str">
        <x:v>Bound external calls and enforce durable rate/cost controls for OTP, maps and AI paths</x:v>
      </x:c>
      <x:c r="F97" s="28" t="str">
        <x:v>Not started</x:v>
      </x:c>
      <x:c r="G97" s="28"/>
      <x:c r="H97" s="28" t="str">
        <x:v>Backend + SRE + security</x:v>
      </x:c>
      <x:c r="I97" s="28" t="str">
        <x:v>M</x:v>
      </x:c>
      <x:c r="J97" s="28" t="str">
        <x:v>M012; M032</x:v>
      </x:c>
      <x:c r="K97" s="28" t="str">
        <x:v>Shared per-user/device/collector admission and cost limits survive cold starts; deadlines, bounded retries and circuit recovery tested; legitimate outage recovery works; retired route computation stays retired.</x:v>
      </x:c>
      <x:c r="L97" s="28" t="str">
        <x:v>Maps uses process-memory rate state and lacks an application timeout; external failures and repeated calls can amplify latency and spend.</x:v>
      </x:c>
      <x:c r="M97" s="28" t="str">
        <x:v>supabase/functions/maps-gateway/index.ts:52-85,244-255; supabase/functions/_shared/whatsapp-cloud.ts; audit/backend_review.md B-09,B-T15,B-T17
Original source: https://drive.google.com/file/d/12qJwdf1UXnXqeY3d1I9ttnFYZhMZ77pT/view?usp=drivesdk
https://drive.google.com/file/d/190BYE2qz7Hc58j2hl-xYbAf9ELpsk-2j/view?usp=drivesdk</x:v>
      </x:c>
    </x:row>
    <x:row r="98" ht="112" customHeight="1">
      <x:c r="A98" s="28" t="str">
        <x:v>M092</x:v>
      </x:c>
      <x:c r="B98" s="28" t="str">
        <x:v>P2</x:v>
      </x:c>
      <x:c r="C98" s="28" t="str">
        <x:v>Core</x:v>
      </x:c>
      <x:c r="D98" s="28" t="str">
        <x:v>Notification delivery</x:v>
      </x:c>
      <x:c r="E98" s="28" t="str">
        <x:v>Use a durable notification outbox with leases, bounded retry and token lifecycle</x:v>
      </x:c>
      <x:c r="F98" s="28" t="str">
        <x:v>Not started</x:v>
      </x:c>
      <x:c r="G98" s="28"/>
      <x:c r="H98" s="28" t="str">
        <x:v>Backend + SRE</x:v>
      </x:c>
      <x:c r="I98" s="28" t="str">
        <x:v>M</x:v>
      </x:c>
      <x:c r="J98" s="28" t="str">
        <x:v>M008; M084</x:v>
      </x:c>
      <x:c r="K98" s="28" t="str">
        <x:v>Notification/token idempotency, lease recovery, TTL, consent, backoff and invalid-token removal work under duplicate dispatch/provider outage; backlog age is visible; no unbounded OAuth/send loop.</x:v>
      </x:c>
      <x:c r="L98" s="28" t="str">
        <x:v>Current HTTP dispatch can repeat sends and lacks a durable per-notification/token claim with bounded retry state.</x:v>
      </x:c>
      <x:c r="M98" s="28" t="str">
        <x:v>supabase/migrations/20260914203228_repair_notification_trigger_http_dispatch.sql; supabase/functions/send-push/index.ts:363-462; audit/backend_review.md B-12
Original source: https://drive.google.com/file/d/1_8s_2FN71Qop1DxBFlwWEyQKzj6-S_EG/view?usp=drivesdk
https://drive.google.com/file/d/16QDr4XE1T00Pm357hzMubBmi_sn1Op11/view?usp=drivesdk</x:v>
      </x:c>
    </x:row>
    <x:row r="99" ht="112" customHeight="1">
      <x:c r="A99" s="28" t="str">
        <x:v>M093</x:v>
      </x:c>
      <x:c r="B99" s="28" t="str">
        <x:v>P2</x:v>
      </x:c>
      <x:c r="C99" s="28" t="str">
        <x:v>Core</x:v>
      </x:c>
      <x:c r="D99" s="28" t="str">
        <x:v>Database performance</x:v>
      </x:c>
      <x:c r="E99" s="28" t="str">
        <x:v>Load-test bounded discovery, realtime, chat history and financial queries at launch/next-stage volume</x:v>
      </x:c>
      <x:c r="F99" s="28" t="str">
        <x:v>Not started</x:v>
      </x:c>
      <x:c r="G99" s="28"/>
      <x:c r="H99" s="28" t="str">
        <x:v>DBA + performance + backend</x:v>
      </x:c>
      <x:c r="I99" s="28" t="str">
        <x:v>M</x:v>
      </x:c>
      <x:c r="J99" s="28" t="str">
        <x:v>M056; M078; M084</x:v>
      </x:c>
      <x:c r="K99" s="28" t="str">
        <x:v>Representative cardinalities and concurrency with EXPLAIN/query statistics meet chosen latency budget; indexes/caps/pagination based on measured plans; retention does not break reconciliation or deletion.</x:v>
      </x:c>
      <x:c r="L99" s="28" t="str">
        <x:v>Unbounded nearby limits and growing tables can affect latency, privacy and resource cost; no current production-scale query evidence was executed.</x:v>
      </x:c>
      <x:c r="M99" s="28" t="str">
        <x:v>supabase/migrations/20260915003031_harden_driver_discovery_identity.sql; audit/backend_review.md B-07,B-T23; audit/flutter_review.md FL-12
Original source: https://drive.google.com/file/d/13WznvHZhWTofuAfvMnxlKTPdDtwfs6AX/view?usp=drivesdk</x:v>
      </x:c>
    </x:row>
    <x:row r="100" ht="112" customHeight="1">
      <x:c r="A100" s="28" t="str">
        <x:v>M094</x:v>
      </x:c>
      <x:c r="B100" s="28" t="str">
        <x:v>P2</x:v>
      </x:c>
      <x:c r="C100" s="28" t="str">
        <x:v>Core</x:v>
      </x:c>
      <x:c r="D100" s="28" t="str">
        <x:v>Operating economics</x:v>
      </x:c>
      <x:c r="E100" s="28" t="str">
        <x:v>Build an observed launch cost model and usage budget with explicit assumptions</x:v>
      </x:c>
      <x:c r="F100" s="28" t="str">
        <x:v>Not started</x:v>
      </x:c>
      <x:c r="G100" s="28"/>
      <x:c r="H100" s="28" t="str">
        <x:v>Product + finance + SRE</x:v>
      </x:c>
      <x:c r="I100" s="28" t="str">
        <x:v>M</x:v>
      </x:c>
      <x:c r="J100" s="28" t="str">
        <x:v>M023; M041; M084; M091</x:v>
      </x:c>
      <x:c r="K100" s="28" t="str">
        <x:v>Current account tariffs and observed requests per successful journey drive low/base/peak forecast; budget alerts and owner-approved service caps tested; no invented Rwanda rate or fixed per-scan promise.</x:v>
      </x:c>
      <x:c r="L100" s="28" t="str">
        <x:v>No measured unit economics were established across paid OTP, AI parsing, containers, vectors, database, storage and egress.</x:v>
      </x:c>
      <x:c r="M100" s="28" t="str">
        <x:v>audit/operations_review.md OPS-05; audit/privacy_review.md section 4; https://developers.cloudflare.com/containers/platform/pricing/; https://whatsappbusiness.com/products/platform-pricing/
Original source: https://drive.google.com/drive/folders/1IOYNDX1ALDVg9Mx6zXM1yZe8HP0xl7CG</x:v>
      </x:c>
    </x:row>
    <x:row r="101" ht="112" customHeight="1">
      <x:c r="A101" s="28" t="str">
        <x:v>M095</x:v>
      </x:c>
      <x:c r="B101" s="28" t="str">
        <x:v>P3</x:v>
      </x:c>
      <x:c r="C101" s="28" t="str">
        <x:v>Face</x:v>
      </x:c>
      <x:c r="D101" s="28" t="str">
        <x:v>Measured optimization</x:v>
      </x:c>
      <x:c r="E101" s="28" t="str">
        <x:v>Optimize inference pool/index checks only after accepted baseline capacity data</x:v>
      </x:c>
      <x:c r="F101" s="28" t="str">
        <x:v>Not started</x:v>
      </x:c>
      <x:c r="G101" s="28"/>
      <x:c r="H101" s="28" t="str">
        <x:v>Performance + platform</x:v>
      </x:c>
      <x:c r="I101" s="28" t="str">
        <x:v>M</x:v>
      </x:c>
      <x:c r="J101" s="28" t="str">
        <x:v>M038; M041; M084; M094</x:v>
      </x:c>
      <x:c r="K101" s="28" t="str">
        <x:v>Measured bottleneck and benefit threshold documented; bounded pool or compatibility-cache change preserves model/consent correctness and cost cap; before/after load and failure results demonstrate improvement.</x:v>
      </x:c>
      <x:c r="L101" s="28" t="str">
        <x:v>Single-instance serialized design is a controlled baseline; automatic scaling or broad rewrites are not justified without demand evidence.</x:v>
      </x:c>
      <x:c r="M101" s="28" t="str">
        <x:v>cloudflare/face-service/src/handler.ts:90-165; services/face-inference/inference.py; audit/operations_review.md OPS-05; https://developers.cloudflare.com/containers/configuration/scaling-and-routing/
Original source: https://drive.google.com/file/d/1ZMe2Z6-28lqVhf4GD24uS02hOaPsgsYZ/view?usp=drivesdk
https://drive.google.com/file/d/140d2FVWo8zH96uUG9K55Svsd5twTSLzR/view?usp=drivesdk</x:v>
      </x:c>
    </x:row>
  </x:sheetData>
  <x:mergeCells>
    <x:mergeCell ref="A1:M2"/>
    <x:mergeCell ref="A3:M4"/>
  </x:mergeCells>
  <x:pageMargins left="0.7" right="0.7" top="0.75" bottom="0.75" header="0.3" footer="0.3"/>
  <x:tableParts count="1">
    <x:tablePart xmlns:r="http://schemas.openxmlformats.org/officeDocument/2006/relationships" r:id="R5a66d8c973e34490"/>
  </x:tableParts>
</x:worksheet>
</file>