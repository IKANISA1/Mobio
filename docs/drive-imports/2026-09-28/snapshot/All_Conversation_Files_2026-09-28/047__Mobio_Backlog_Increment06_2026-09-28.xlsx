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fef86e085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768a9a48b18475d"/>
    <x:sheet xmlns:r="http://schemas.openxmlformats.org/officeDocument/2006/relationships" name="All 95 tasks" sheetId="2" r:id="Rafd9b54e7e564c95"/>
    <x:sheet xmlns:r="http://schemas.openxmlformats.org/officeDocument/2006/relationships" name="Acceptance and provenance" sheetId="3" r:id="R077cd62a613e44fb"/>
    <x:sheet xmlns:r="http://schemas.openxmlformats.org/officeDocument/2006/relationships" name="Verification" sheetId="4" r:id="R2b45f6f9bcba4fe5"/>
    <x:sheet xmlns:r="http://schemas.openxmlformats.org/officeDocument/2006/relationships" name="Workstreams" sheetId="5" r:id="R62f4d73e9b6d44eb"/>
    <x:sheet xmlns:r="http://schemas.openxmlformats.org/officeDocument/2006/relationships" name="Sources" sheetId="6" r:id="Rb463403e7e14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93449"/>
      <x:name val="Carlito"/>
    </x:font>
    <x:font>
      <x:b/>
      <x:sz val="11"/>
      <x:color rgb="FFFFFFFF"/>
      <x:name val="Carlito"/>
    </x:font>
    <x:font>
      <x:b/>
      <x:sz val="11"/>
      <x:color rgb="FF19344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2D42"/>
      </x:patternFill>
    </x:fill>
    <x:fill>
      <x:patternFill patternType="solid">
        <x:fgColor rgb="FF137B80"/>
      </x:patternFill>
    </x:fill>
    <x:fill>
      <x:patternFill patternType="solid">
        <x:fgColor rgb="FFEDF5F6"/>
      </x:patternFill>
    </x:fill>
    <x:fill>
      <x:patternFill patternType="solid">
        <x:fgColor rgb="FFFFF0D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</x:font>
      <x:fill>
        <x:patternFill>
          <x:bgColor rgb="FFDDF2ED"/>
        </x:patternFill>
      </x:fill>
    </x:dxf>
    <x:dxf>
      <x:font>
        <x:b/>
        <x:color rgb="FF9F3420"/>
      </x:font>
      <x:fill>
        <x:patternFill>
          <x:bgColor rgb="FFFBE3DE"/>
        </x:patternFill>
      </x:fill>
    </x:dxf>
    <x:dxf>
      <x:fill>
        <x:patternFill>
          <x:bgColor rgb="FFFFF0D8"/>
        </x:patternFill>
      </x:fill>
    </x:dxf>
    <x:dxf>
      <x:fill>
        <x:patternFill>
          <x:bgColor rgb="FFFFF0D8"/>
        </x:patternFill>
      </x:fill>
    </x:dxf>
    <x:dxf>
      <x:font>
        <x:color rgb="FF12645E"/>
      </x:font>
      <x:fill>
        <x:patternFill patternType="solid">
          <x:bgColor rgb="FFDCEFED"/>
        </x:patternFill>
      </x:fill>
    </x:dxf>
    <x:dxf>
      <x:font>
        <x:color rgb="FF193449"/>
      </x:font>
      <x:fill>
        <x:patternFill patternType="solid">
          <x:bgColor rgb="FFEDF5F6"/>
        </x:patternFill>
      </x:fill>
    </x:dxf>
    <x:dxf>
      <x:font>
        <x:color rgb="FF76551F"/>
      </x:font>
      <x:fill>
        <x:patternFill patternType="solid">
          <x:bgColor rgb="FFFFF2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99f86ccf940e4" /><Relationship Type="http://schemas.openxmlformats.org/officeDocument/2006/relationships/theme" Target="/xl/theme/theme1.xml" Id="Re0b8e896d6da453c" /><Relationship Type="http://schemas.openxmlformats.org/officeDocument/2006/relationships/sharedStrings" Target="/xl/sharedStrings.xml" Id="Rca029fbff6ff4f50" /><Relationship Type="http://schemas.openxmlformats.org/officeDocument/2006/relationships/worksheet" Target="/xl/worksheets/sheet1.xml" Id="R7768a9a48b18475d" /><Relationship Type="http://schemas.openxmlformats.org/officeDocument/2006/relationships/worksheet" Target="/xl/worksheets/sheet2.xml" Id="Rafd9b54e7e564c95" /><Relationship Type="http://schemas.openxmlformats.org/officeDocument/2006/relationships/worksheet" Target="/xl/worksheets/sheet3.xml" Id="R077cd62a613e44fb" /><Relationship Type="http://schemas.openxmlformats.org/officeDocument/2006/relationships/worksheet" Target="/xl/worksheets/sheet4.xml" Id="R2b45f6f9bcba4fe5" /><Relationship Type="http://schemas.openxmlformats.org/officeDocument/2006/relationships/worksheet" Target="/xl/worksheets/sheet5.xml" Id="R62f4d73e9b6d44eb" /><Relationship Type="http://schemas.openxmlformats.org/officeDocument/2006/relationships/worksheet" Target="/xl/worksheets/sheet6.xml" Id="Rb463403e7e144c4b" /></Relationships>
</file>

<file path=xl/tables/table1.xml><?xml version="1.0" encoding="utf-8"?>
<x:table xmlns:x="http://schemas.openxmlformats.org/spreadsheetml/2006/main" id="1" name="MobioTasks05" displayName="MobioTasks05" ref="A5:K100" headerRowCount="1" totalsRowCount="0" totalsRowShown="0">
  <x:tableColumns count="11">
    <x:tableColumn id="1" name="ID"/>
    <x:tableColumn id="2" name="Priority"/>
    <x:tableColumn id="3" name="Workstream"/>
    <x:tableColumn id="4" name="Delivery status"/>
    <x:tableColumn id="5" name="Task"/>
    <x:tableColumn id="6" name="Increment05 source / evidence"/>
    <x:tableColumn id="7" name="Remaining implementation / acceptance"/>
    <x:tableColumn id="8" name="Owner role"/>
    <x:tableColumn id="9" name="Dependencies"/>
    <x:tableColumn id="10" name="Assigned person"/>
    <x:tableColumn id="11" name="Production accept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05" displayName="Acceptance05" ref="A5:H100" headerRowCount="1" totalsRowCount="0" totalsRowShown="0">
  <x:tableColumns count="8">
    <x:tableColumn id="1" name="ID"/>
    <x:tableColumn id="2" name="Release scope"/>
    <x:tableColumn id="3" name="Area"/>
    <x:tableColumn id="4" name="Original acceptance criteria"/>
    <x:tableColumn id="5" name="Earlier source evidence"/>
    <x:tableColumn id="6" name="Increment04 evidence"/>
    <x:tableColumn id="7" name="Backlog source URL"/>
    <x:tableColumn id="8" name="Original source / audit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05" displayName="Validation05" ref="A5:E22" headerRowCount="1" totalsRowCount="0" totalsRowShown="0">
  <x:tableColumns count="5">
    <x:tableColumn id="1" name="Lane"/>
    <x:tableColumn id="2" name="Result"/>
    <x:tableColumn id="3" name="Counted checks"/>
    <x:tableColumn id="4" name="Boundary / qualification"/>
    <x:tableColumn id="5" name="Evidence in pack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streams05" displayName="Workstreams05" ref="A5:E15" headerRowCount="1" totalsRowCount="0" totalsRowShown="0">
  <x:tableColumns count="5">
    <x:tableColumn id="1" name="Workstream"/>
    <x:tableColumn id="2" name="Task IDs"/>
    <x:tableColumn id="3" name="Tasks"/>
    <x:tableColumn id="4" name="Execution / acceptance state"/>
    <x:tableColumn id="5" name="Advanced no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05" displayName="Sources05" ref="A5:D13" headerRowCount="1" totalsRowCount="0" totalsRowShown="0">
  <x:tableColumns count="4">
    <x:tableColumn id="1" name="Source"/>
    <x:tableColumn id="2" name="Use"/>
    <x:tableColumn id="3" name="URL / package path"/>
    <x:tableColumn id="4" name="Qual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13d7238a6748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c1761f27954a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eb34ec67e144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eb880dd74e43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a9b934a5c84eb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6" t="str">
        <x:v>MOBIO | Increment06 delivery control</x:v>
      </x:c>
      <x:c r="B1" s="6"/>
      <x:c r="C1" s="6"/>
      <x:c r="D1" s="6"/>
      <x:c r="E1" s="6"/>
      <x:c r="F1" s="6"/>
      <x:c r="G1" s="6"/>
      <x:c r="H1" s="6"/>
    </x:row>
    <x:row r="2">
      <x:c r="A2" s="2"/>
      <x:c r="B2" s="2"/>
      <x:c r="C2" s="2"/>
      <x:c r="D2" s="2"/>
      <x:c r="E2" s="2"/>
      <x:c r="F2" s="2"/>
      <x:c r="G2" s="2"/>
      <x:c r="H2" s="2"/>
    </x:row>
    <x:row r="3" ht="36" customHeight="1">
      <x:c r="A3" s="11" t="str">
        <x:v>28 September 2026 • Chat delivery, recovery and history • Source candidate; not deployed.</x:v>
      </x:c>
      <x:c r="B3" s="11"/>
      <x:c r="C3" s="11"/>
      <x:c r="D3" s="11"/>
      <x:c r="E3" s="11"/>
      <x:c r="F3" s="11"/>
      <x:c r="G3" s="11"/>
      <x:c r="H3" s="11"/>
    </x:row>
    <x:row r="4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4" t="str">
        <x:v>ALL TASKS</x:v>
      </x:c>
      <x:c r="B5" s="24"/>
      <x:c r="C5" s="24" t="str">
        <x:v>ADVANCED NOW</x:v>
      </x:c>
      <x:c r="D5" s="24"/>
      <x:c r="E5" s="24" t="str">
        <x:v>LOCAL CHECKS</x:v>
      </x:c>
      <x:c r="F5" s="24"/>
      <x:c r="G5" s="24" t="str">
        <x:v>PRODUCTION ACCEPTED</x:v>
      </x:c>
      <x:c r="H5" s="24"/>
    </x:row>
    <x:row r="6" ht="24" customHeight="1">
      <x:c r="A6" s="29" t="n">
        <x:f>COUNTA('All 95 tasks'!A6:A100)</x:f>
        <x:v>95</x:v>
      </x:c>
      <x:c r="B6" s="29"/>
      <x:c r="C6" s="29" t="n">
        <x:f>COUNTIF('All 95 tasks'!D6:D100,"Advanced in Increment06")</x:f>
        <x:v>10</x:v>
      </x:c>
      <x:c r="D6" s="29"/>
      <x:c r="E6" s="29" t="n">
        <x:f>SUM(Verification!C6:C14)</x:f>
        <x:v>494</x:v>
      </x:c>
      <x:c r="F6" s="29"/>
      <x:c r="G6" s="29" t="n">
        <x:f>COUNTIF('All 95 tasks'!K6:K100,"Accepted")</x:f>
        <x:v>0</x:v>
      </x:c>
      <x:c r="H6" s="29"/>
    </x:row>
    <x:row r="7" ht="24" customHeight="1">
      <x:c r="A7" s="29"/>
      <x:c r="B7" s="29"/>
      <x:c r="C7" s="29"/>
      <x:c r="D7" s="29"/>
      <x:c r="E7" s="29"/>
      <x:c r="F7" s="29"/>
      <x:c r="G7" s="29"/>
      <x:c r="H7" s="29"/>
    </x:row>
    <x:row r="8">
      <x:c r="A8" s="2"/>
      <x:c r="B8" s="2"/>
      <x:c r="C8" s="2"/>
      <x:c r="D8" s="2"/>
      <x:c r="E8" s="2"/>
      <x:c r="F8" s="2"/>
      <x:c r="G8" s="2"/>
      <x:c r="H8" s="2"/>
    </x:row>
    <x:row r="9" ht="46" customHeight="1">
      <x:c r="A9" s="36" t="str">
        <x:v>CUTOVER: new chat sends default OFF. Legacy sends return 410; direct message access is restricted. Coordinate database and client release before enablement.</x:v>
      </x:c>
      <x:c r="B9" s="36"/>
      <x:c r="C9" s="36"/>
      <x:c r="D9" s="36"/>
      <x:c r="E9" s="36"/>
      <x:c r="F9" s="36"/>
      <x:c r="G9" s="36"/>
      <x:c r="H9" s="36"/>
    </x:row>
    <x:row r="10" ht="25" customHeight="1">
      <x:c r="A10" s="36"/>
      <x:c r="B10" s="36"/>
      <x:c r="C10" s="36"/>
      <x:c r="D10" s="36"/>
      <x:c r="E10" s="36"/>
      <x:c r="F10" s="36"/>
      <x:c r="G10" s="36"/>
      <x:c r="H10" s="3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6" customHeight="1">
      <x:c r="A12" s="5" t="str">
        <x:v>DELIVERY CLASSIFICATION — NOT A COMPLETION PERCENTAGE</x:v>
      </x:c>
      <x:c r="B12" s="5"/>
      <x:c r="C12" s="5"/>
      <x:c r="D12" s="5"/>
      <x:c r="E12" s="5"/>
      <x:c r="F12" s="5"/>
      <x:c r="G12" s="5"/>
      <x:c r="H12" s="5"/>
    </x:row>
    <x:row r="13" ht="24" customHeight="1">
      <x:c r="A13" s="26" t="str">
        <x:v>Advanced in Increment06</x:v>
      </x:c>
      <x:c r="B13" s="26"/>
      <x:c r="C13" s="26"/>
      <x:c r="D13" s="26"/>
      <x:c r="E13" s="26"/>
      <x:c r="F13" s="26"/>
      <x:c r="G13" s="26" t="n">
        <x:f>COUNTIF('All 95 tasks'!D6:D100,"Advanced in Increment06")</x:f>
        <x:v>10</x:v>
      </x:c>
      <x:c r="H13" s="26"/>
    </x:row>
    <x:row r="14" ht="24" customHeight="1">
      <x:c r="A14" s="40" t="str">
        <x:v>Prior source; acceptance open</x:v>
      </x:c>
      <x:c r="B14" s="40"/>
      <x:c r="C14" s="40"/>
      <x:c r="D14" s="40"/>
      <x:c r="E14" s="40"/>
      <x:c r="F14" s="40"/>
      <x:c r="G14" s="40" t="n">
        <x:f>COUNTIF('All 95 tasks'!D6:D100,"Prior source; acceptance open")</x:f>
        <x:v>35</x:v>
      </x:c>
      <x:c r="H14" s="40"/>
    </x:row>
    <x:row r="15" ht="24" customHeight="1">
      <x:c r="A15" s="26" t="str">
        <x:v>Open; not advanced in Increment06</x:v>
      </x:c>
      <x:c r="B15" s="26"/>
      <x:c r="C15" s="26"/>
      <x:c r="D15" s="26"/>
      <x:c r="E15" s="26"/>
      <x:c r="F15" s="26"/>
      <x:c r="G15" s="26" t="n">
        <x:f>COUNTIF('All 95 tasks'!D6:D100,"Open; not advanced in Increment06")</x:f>
        <x:v>50</x:v>
      </x:c>
      <x:c r="H15" s="26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46" customHeight="1">
      <x:c r="A17" s="43" t="str">
        <x:v>29 new/modified source files • 163-file cumulative overlay • Stable chat IDs, cancellation fencing, exact-timestamp paging and account-bound recovery.</x:v>
      </x:c>
      <x:c r="B17" s="43"/>
      <x:c r="C17" s="43"/>
      <x:c r="D17" s="43"/>
      <x:c r="E17" s="43"/>
      <x:c r="F17" s="43"/>
      <x:c r="G17" s="43"/>
      <x:c r="H17" s="43"/>
    </x:row>
    <x:row r="18" ht="25" customHeight="1">
      <x:c r="A18" s="43"/>
      <x:c r="B18" s="43"/>
      <x:c r="C18" s="43"/>
      <x:c r="D18" s="43"/>
      <x:c r="E18" s="43"/>
      <x:c r="F18" s="43"/>
      <x:c r="G18" s="43"/>
      <x:c r="H18" s="43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 ht="42" customHeight="1">
      <x:c r="A20" s="43" t="str">
        <x:v>NEW: 21 executable tooling checks + 18 static assertions. RERUN: 455 prior checks. New chat Dart/SQL behavior is NOT EXECUTED.</x:v>
      </x:c>
      <x:c r="B20" s="43"/>
      <x:c r="C20" s="43"/>
      <x:c r="D20" s="43"/>
      <x:c r="E20" s="43"/>
      <x:c r="F20" s="43"/>
      <x:c r="G20" s="43"/>
      <x:c r="H20" s="43"/>
    </x:row>
    <x:row r="21" ht="25" customHeight="1">
      <x:c r="A21" s="43"/>
      <x:c r="B21" s="43"/>
      <x:c r="C21" s="43"/>
      <x:c r="D21" s="43"/>
      <x:c r="E21" s="43"/>
      <x:c r="F21" s="43"/>
      <x:c r="G21" s="43"/>
      <x:c r="H21" s="43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 ht="46" customHeight="1">
      <x:c r="A23" s="43" t="str">
        <x:v>ACCESS: anyone with the source-folder link can still edit. Permissions and signing credentials were not changed. Restrict access before trusted release integration.</x:v>
      </x:c>
      <x:c r="B23" s="43"/>
      <x:c r="C23" s="43"/>
      <x:c r="D23" s="43"/>
      <x:c r="E23" s="43"/>
      <x:c r="F23" s="43"/>
      <x:c r="G23" s="43"/>
      <x:c r="H23" s="43"/>
    </x:row>
    <x:row r="24" ht="25" customHeight="1">
      <x:c r="A24" s="43"/>
      <x:c r="B24" s="43"/>
      <x:c r="C24" s="43"/>
      <x:c r="D24" s="43"/>
      <x:c r="E24" s="43"/>
      <x:c r="F24" s="43"/>
      <x:c r="G24" s="43"/>
      <x:c r="H24" s="43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 ht="42" customHeight="1">
      <x:c r="A26" s="43" t="str">
        <x:v>Use All 95 tasks for current delivery status; original acceptance criteria are preserved separately. No production acceptance is evidenced by this delivery.</x:v>
      </x:c>
      <x:c r="B26" s="43"/>
      <x:c r="C26" s="43"/>
      <x:c r="D26" s="43"/>
      <x:c r="E26" s="43"/>
      <x:c r="F26" s="43"/>
      <x:c r="G26" s="43"/>
      <x:c r="H26" s="43"/>
    </x:row>
    <x:row r="27" ht="25" customHeight="1">
      <x:c r="A27" s="43"/>
      <x:c r="B27" s="43"/>
      <x:c r="C27" s="43"/>
      <x:c r="D27" s="43"/>
      <x:c r="E27" s="43"/>
      <x:c r="F27" s="43"/>
      <x:c r="G27" s="43"/>
      <x:c r="H27" s="43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</x:sheetData>
  <x:mergeCells>
    <x:mergeCell ref="A1:H1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10"/>
    <x:mergeCell ref="A12:H12"/>
    <x:mergeCell ref="A13:F13"/>
    <x:mergeCell ref="G13:H13"/>
    <x:mergeCell ref="A14:F14"/>
    <x:mergeCell ref="G14:H14"/>
    <x:mergeCell ref="A15:F15"/>
    <x:mergeCell ref="G15:H15"/>
    <x:mergeCell ref="A17:H18"/>
    <x:mergeCell ref="A20:H21"/>
    <x:mergeCell ref="A23:H24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30" hidden="0" customWidth="1"/>
    <x:col min="5" max="5" width="40" hidden="0" customWidth="1"/>
    <x:col min="6" max="6" width="43" hidden="0" customWidth="1"/>
    <x:col min="7" max="7" width="49" hidden="0" customWidth="1"/>
    <x:col min="8" max="8" width="28" hidden="0" customWidth="1"/>
    <x:col min="9" max="9" width="24" hidden="0" customWidth="1"/>
    <x:col min="10" max="10" width="22" hidden="0" customWidth="1"/>
    <x:col min="11" max="11" width="22" hidden="0" customWidth="1"/>
  </x:cols>
  <x:sheetData>
    <x:row r="1" ht="32" customHeight="1">
      <x:c r="A1" s="6" t="str">
        <x:v>Mobio | Full 95-task register — Increment06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11" t="str">
        <x:v>Ten tasks advanced; SQL/Dart runtime acceptance still open. Source work is not production acceptance.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17" t="str">
        <x:v>ID</x:v>
      </x:c>
      <x:c r="B5" s="17" t="str">
        <x:v>Priority</x:v>
      </x:c>
      <x:c r="C5" s="17" t="str">
        <x:v>Workstream</x:v>
      </x:c>
      <x:c r="D5" s="17" t="str">
        <x:v>Delivery status</x:v>
      </x:c>
      <x:c r="E5" s="17" t="str">
        <x:v>Task</x:v>
      </x:c>
      <x:c r="F5" s="17" t="str">
        <x:v>Increment06 source / evidence</x:v>
      </x:c>
      <x:c r="G5" s="17" t="str">
        <x:v>Remaining implementation / acceptance</x:v>
      </x:c>
      <x:c r="H5" s="17" t="str">
        <x:v>Owner role</x:v>
      </x:c>
      <x:c r="I5" s="17" t="str">
        <x:v>Dependencies</x:v>
      </x:c>
      <x:c r="J5" s="17" t="str">
        <x:v>Assigned person</x:v>
      </x:c>
      <x:c r="K5" s="17" t="str">
        <x:v>Production acceptance</x:v>
      </x:c>
    </x:row>
    <x:row r="6" ht="110" customHeight="1">
      <x:c r="A6" s="22" t="str">
        <x:v>M001</x:v>
      </x:c>
      <x:c r="B6" s="22" t="str">
        <x:v>P0</x:v>
      </x:c>
      <x:c r="C6" s="22" t="str">
        <x:v>Access and release containment</x:v>
      </x:c>
      <x:c r="D6" s="22" t="str">
        <x:v>Open; not advanced in Increment06</x:v>
      </x:c>
      <x:c r="E6" s="22" t="str">
        <x:v>Restrict the public Drive working-copy folder and preserve an access-review record</x:v>
      </x:c>
      <x:c r="F6" s="22" t="str">
        <x:v>No new completion claim. Earlier evidence retained: No new implementation or completion claim in Increment05.</x:v>
      </x:c>
      <x:c r="G6" s="22" t="str">
        <x:v>Named access replaces anyone-writer; inherited/child permissions and link access are verified; preserve activity evidence and an incident decision without asserting outsider use.</x:v>
      </x:c>
      <x:c r="H6" s="22" t="str">
        <x:v>Security lead + folder owner</x:v>
      </x:c>
      <x:c r="I6" s="22" t="str">
        <x:v>None</x:v>
      </x:c>
      <x:c r="J6" s="22" t="str">
        <x:v>Unassigned</x:v>
      </x:c>
      <x:c r="K6" s="22" t="str">
        <x:v>Not evidenced by these deliveries</x:v>
      </x:c>
    </x:row>
    <x:row r="7" ht="110" customHeight="1">
      <x:c r="A7" s="22" t="str">
        <x:v>M002</x:v>
      </x:c>
      <x:c r="B7" s="22" t="str">
        <x:v>P0</x:v>
      </x:c>
      <x:c r="C7" s="22" t="str">
        <x:v>Access and release containment</x:v>
      </x:c>
      <x:c r="D7" s="22" t="str">
        <x:v>Open; not advanced in Increment06</x:v>
      </x:c>
      <x:c r="E7" s="22" t="str">
        <x:v>Inventory exposed credentials and replace or revoke affected secrets using their actual provenance</x:v>
      </x:c>
      <x:c r="F7" s="22" t="str">
        <x:v>No new completion claim. Earlier evidence retained: No new implementation or completion claim in Increment05.</x:v>
      </x:c>
      <x:c r="G7" s="22" t="str">
        <x:v>Identify owner, purpose, exposure window and actual upload/app-signing role; reset upload keys or revoke credentials as warranted; prove a trusted signed update path and remove exposed copies under retention policy.</x:v>
      </x:c>
      <x:c r="H7" s="22" t="str">
        <x:v>Security + Android release owner</x:v>
      </x:c>
      <x:c r="I7" s="22" t="str">
        <x:v>M001</x:v>
      </x:c>
      <x:c r="J7" s="22" t="str">
        <x:v>Unassigned</x:v>
      </x:c>
      <x:c r="K7" s="22" t="str">
        <x:v>Not evidenced by these deliveries</x:v>
      </x:c>
    </x:row>
    <x:row r="8" ht="110" customHeight="1">
      <x:c r="A8" s="22" t="str">
        <x:v>M003</x:v>
      </x:c>
      <x:c r="B8" s="22" t="str">
        <x:v>P0</x:v>
      </x:c>
      <x:c r="C8" s="22" t="str">
        <x:v>Identity, admin and session safety</x:v>
      </x:c>
      <x:c r="D8" s="22" t="str">
        <x:v>Prior source; acceptance open</x:v>
      </x:c>
      <x:c r="E8" s="22" t="str">
        <x:v>Bind verified WhatsApp/phone identity to an immutable, unique Auth identity</x:v>
      </x:c>
      <x:c r="F8" s="22" t="str">
        <x:v>No new completion claim. Earlier evidence retained: Admin OTP now uses the canonical verified Auth owner and no editable-profile alias fallback.</x:v>
      </x:c>
      <x:c r="G8" s="22" t="str">
        <x:v>Run real Auth collisions, races and existing-user upgrade tests; consumer identity and BioPay acceptance remain open.</x:v>
      </x:c>
      <x:c r="H8" s="22" t="str">
        <x:v>Backend + security</x:v>
      </x:c>
      <x:c r="I8" s="22" t="str">
        <x:v>M001</x:v>
      </x:c>
      <x:c r="J8" s="22" t="str">
        <x:v>Unassigned</x:v>
      </x:c>
      <x:c r="K8" s="22" t="str">
        <x:v>Not evidenced by these deliveries</x:v>
      </x:c>
    </x:row>
    <x:row r="9" ht="110" customHeight="1">
      <x:c r="A9" s="22" t="str">
        <x:v>M004</x:v>
      </x:c>
      <x:c r="B9" s="22" t="str">
        <x:v>P1</x:v>
      </x:c>
      <x:c r="C9" s="22" t="str">
        <x:v>Identity, admin and session safety</x:v>
      </x:c>
      <x:c r="D9" s="22" t="str">
        <x:v>Advanced in Increment06</x:v>
      </x:c>
      <x:c r="E9" s="22" t="str">
        <x:v>Protect identity and privilege columns and audit effective table/RPC grants</x:v>
      </x:c>
      <x:c r="F9" s="22" t="str">
        <x:v>Chat message direct reads/writes and conversation mutation grants restricted to checked RPC paths in forward body10; actual effective full-schema grants not yet tested.</x:v>
      </x:c>
      <x:c r="G9" s="22" t="str">
        <x:v>Run full-schema table/column/function and real Auth/PostgREST role matrix. Verify legitimate existing conversation/moderation RPCs still work; cover raw-table and participant-reassignment bypasses.</x:v>
      </x:c>
      <x:c r="H9" s="22" t="str">
        <x:v>Backend + security</x:v>
      </x:c>
      <x:c r="I9" s="22" t="str">
        <x:v>M003</x:v>
      </x:c>
      <x:c r="J9" s="22" t="str">
        <x:v>Unassigned</x:v>
      </x:c>
      <x:c r="K9" s="22" t="str">
        <x:v>Not evidenced by these deliveries</x:v>
      </x:c>
    </x:row>
    <x:row r="10" ht="110" customHeight="1">
      <x:c r="A10" s="22" t="str">
        <x:v>M005</x:v>
      </x:c>
      <x:c r="B10" s="22" t="str">
        <x:v>P1</x:v>
      </x:c>
      <x:c r="C10" s="22" t="str">
        <x:v>Identity, admin and session safety</x:v>
      </x:c>
      <x:c r="D10" s="22" t="str">
        <x:v>Prior source; acceptance open</x:v>
      </x:c>
      <x:c r="E10" s="22" t="str">
        <x:v>Reconcile duplicate member IDs and enforce atomic unique six-digit allocation</x:v>
      </x:c>
      <x:c r="F10" s="22" t="str">
        <x:v>No new completion claim. Earlier evidence retained: No new implementation or completion claim in Increment05.</x:v>
      </x:c>
      <x:c r="G10" s="22" t="str">
        <x:v>Duplicate inventory reviewed; controlled remediation preserves account UUIDs and references; unique constraint plus concurrent allocation tests pass; ambiguous recipient lookup fails safely.</x:v>
      </x:c>
      <x:c r="H10" s="22" t="str">
        <x:v>Backend + data migration owner</x:v>
      </x:c>
      <x:c r="I10" s="22" t="str">
        <x:v>M003; M004</x:v>
      </x:c>
      <x:c r="J10" s="22" t="str">
        <x:v>Unassigned</x:v>
      </x:c>
      <x:c r="K10" s="22" t="str">
        <x:v>Not evidenced by these deliveries</x:v>
      </x:c>
    </x:row>
    <x:row r="11" ht="110" customHeight="1">
      <x:c r="A11" s="22" t="str">
        <x:v>M006</x:v>
      </x:c>
      <x:c r="B11" s="22" t="str">
        <x:v>P1</x:v>
      </x:c>
      <x:c r="C11" s="22" t="str">
        <x:v>Identity, admin and session safety</x:v>
      </x:c>
      <x:c r="D11" s="22" t="str">
        <x:v>Prior source; acceptance open</x:v>
      </x:c>
      <x:c r="E11" s="22" t="str">
        <x:v>Display the authoritative member ID consistently across all client surfaces</x:v>
      </x:c>
      <x:c r="F11" s="22" t="str">
        <x:v>No new completion claim. Earlier evidence retained: No new implementation or completion claim in Increment05.</x:v>
      </x:c>
      <x:c r="G11" s="22" t="str">
        <x:v>One fixture displays one server-issued six-digit ID in profile, nearby, trip, chat and wallet; no fabricated fallback; wrong/missing/ambiguous recipient regression cases pass.</x:v>
      </x:c>
      <x:c r="H11" s="22" t="str">
        <x:v>Flutter + QA</x:v>
      </x:c>
      <x:c r="I11" s="22" t="str">
        <x:v>M005</x:v>
      </x:c>
      <x:c r="J11" s="22" t="str">
        <x:v>Unassigned</x:v>
      </x:c>
      <x:c r="K11" s="22" t="str">
        <x:v>Not evidenced by these deliveries</x:v>
      </x:c>
    </x:row>
    <x:row r="12" ht="110" customHeight="1">
      <x:c r="A12" s="22" t="str">
        <x:v>M007</x:v>
      </x:c>
      <x:c r="B12" s="22" t="str">
        <x:v>P1</x:v>
      </x:c>
      <x:c r="C12" s="22" t="str">
        <x:v>Identity, admin and session safety</x:v>
      </x:c>
      <x:c r="D12" s="22" t="str">
        <x:v>Advanced in Increment06</x:v>
      </x:c>
      <x:c r="E12" s="22" t="str">
        <x:v>Implement ordinary sign-out with finally-safe local and native cleanup</x:v>
      </x:c>
      <x:c r="F12" s="22" t="str">
        <x:v>Chat view and transport teardown now capture account/session authority, clear drafts/caches on ownership change and remove realtime/timer listeners. Dart/device tests authored, not run.</x:v>
      </x:c>
      <x:c r="G12" s="22" t="str">
        <x:v>Run A→B→A, logout, offline exit and background/resume through chat plus all existing native account-cleanup paths; verify credentials and other feature listeners independently.</x:v>
      </x:c>
      <x:c r="H12" s="22" t="str">
        <x:v>Flutter + native platform owners</x:v>
      </x:c>
      <x:c r="I12" s="22" t="str">
        <x:v>M003</x:v>
      </x:c>
      <x:c r="J12" s="22" t="str">
        <x:v>Unassigned</x:v>
      </x:c>
      <x:c r="K12" s="22" t="str">
        <x:v>Not evidenced by these deliveries</x:v>
      </x:c>
    </x:row>
    <x:row r="13" ht="110" customHeight="1">
      <x:c r="A13" s="22" t="str">
        <x:v>M008</x:v>
      </x:c>
      <x:c r="B13" s="22" t="str">
        <x:v>P1</x:v>
      </x:c>
      <x:c r="C13" s="22" t="str">
        <x:v>Identity, admin and session safety</x:v>
      </x:c>
      <x:c r="D13" s="22" t="str">
        <x:v>Prior source; acceptance open</x:v>
      </x:c>
      <x:c r="E13" s="22" t="str">
        <x:v>Revoke FCM association before losing its owning session and atomically bind device ownership</x:v>
      </x:c>
      <x:c r="F13" s="22" t="str">
        <x:v>No new completion claim. Earlier evidence retained: No new implementation or completion claim in Increment05.</x:v>
      </x:c>
      <x:c r="G13" s="22" t="str">
        <x:v>Two-account device test receives only current-owner messages; captured identity is rechecked around token retrieval/upsert; anonymous registration rejected; stale-token expiry and revocation verified.</x:v>
      </x:c>
      <x:c r="H13" s="22" t="str">
        <x:v>Flutter + backend</x:v>
      </x:c>
      <x:c r="I13" s="22" t="str">
        <x:v>M007</x:v>
      </x:c>
      <x:c r="J13" s="22" t="str">
        <x:v>Unassigned</x:v>
      </x:c>
      <x:c r="K13" s="22" t="str">
        <x:v>Not evidenced by these deliveries</x:v>
      </x:c>
    </x:row>
    <x:row r="14" ht="110" customHeight="1">
      <x:c r="A14" s="22" t="str">
        <x:v>M009</x:v>
      </x:c>
      <x:c r="B14" s="22" t="str">
        <x:v>P1</x:v>
      </x:c>
      <x:c r="C14" s="22" t="str">
        <x:v>Identity, admin and session safety</x:v>
      </x:c>
      <x:c r="D14" s="22" t="str">
        <x:v>Prior source; acceptance open</x:v>
      </x:c>
      <x:c r="E14" s="22" t="str">
        <x:v>Define and enforce admin idle, absolute lifetime and sensitive-action authentication</x:v>
      </x:c>
      <x:c r="F14" s="22" t="str">
        <x:v>No new completion claim. Earlier evidence retained: Private server leases, actual OTP registration-before-credentials, client restore/lease verification and expiry masking implemented.</x:v>
      </x:c>
      <x:c r="G14" s="22" t="str">
        <x:v>Execute real full-schema role/RPC/Edge matrix; wire recent-auth helper into all high-impact operations, approve idle/absolute policy and delegated permissions.</x:v>
      </x:c>
      <x:c r="H14" s="22" t="str">
        <x:v>Security + backend + Flutter</x:v>
      </x:c>
      <x:c r="I14" s="22" t="str">
        <x:v>M003; M007</x:v>
      </x:c>
      <x:c r="J14" s="22" t="str">
        <x:v>Unassigned</x:v>
      </x:c>
      <x:c r="K14" s="22" t="str">
        <x:v>Not evidenced by these deliveries</x:v>
      </x:c>
    </x:row>
    <x:row r="15" ht="110" customHeight="1">
      <x:c r="A15" s="22" t="str">
        <x:v>M010</x:v>
      </x:c>
      <x:c r="B15" s="22" t="str">
        <x:v>P1</x:v>
      </x:c>
      <x:c r="C15" s="22" t="str">
        <x:v>Identity, admin and session safety</x:v>
      </x:c>
      <x:c r="D15" s="22" t="str">
        <x:v>Open; not advanced in Increment06</x:v>
      </x:c>
      <x:c r="E15" s="22" t="str">
        <x:v>Migrate native refresh-session persistence to supported OS-protected storage</x:v>
      </x:c>
      <x:c r="F15" s="22" t="str">
        <x:v>No new completion claim. Earlier evidence retained: No new implementation or completion claim in Increment05.</x:v>
      </x:c>
      <x:c r="G15" s="22" t="str">
        <x:v>At-rest/backup inspection and migration, restart, sign-out, reinstall and revocation tests pass on Android/iOS; recovery behavior is documented; browser storage is addressed separately.</x:v>
      </x:c>
      <x:c r="H15" s="22" t="str">
        <x:v>Flutter + security</x:v>
      </x:c>
      <x:c r="I15" s="22" t="str">
        <x:v>M007</x:v>
      </x:c>
      <x:c r="J15" s="22" t="str">
        <x:v>Unassigned</x:v>
      </x:c>
      <x:c r="K15" s="22" t="str">
        <x:v>Not evidenced by these deliveries</x:v>
      </x:c>
    </x:row>
    <x:row r="16" ht="110" customHeight="1">
      <x:c r="A16" s="22" t="str">
        <x:v>M011</x:v>
      </x:c>
      <x:c r="B16" s="22" t="str">
        <x:v>P1</x:v>
      </x:c>
      <x:c r="C16" s="22" t="str">
        <x:v>Identity, admin and session safety</x:v>
      </x:c>
      <x:c r="D16" s="22" t="str">
        <x:v>Open; not advanced in Increment06</x:v>
      </x:c>
      <x:c r="E16" s="22" t="str">
        <x:v>Constrain the store-review identity to monitored synthetic data and rotate its access</x:v>
      </x:c>
      <x:c r="F16" s="22" t="str">
        <x:v>No new completion claim. Earlier evidence retained: No new implementation or completion claim in Increment05.</x:v>
      </x:c>
      <x:c r="G16" s="22" t="str">
        <x:v>Review account has approved minimal access and no real-user financial/biometric records; rate cap, audit monitoring and rotation procedure work; live OTP-claim semantics remain enforced.</x:v>
      </x:c>
      <x:c r="H16" s="22" t="str">
        <x:v>Security + release + backend</x:v>
      </x:c>
      <x:c r="I16" s="22" t="str">
        <x:v>M003; M009</x:v>
      </x:c>
      <x:c r="J16" s="22" t="str">
        <x:v>Unassigned</x:v>
      </x:c>
      <x:c r="K16" s="22" t="str">
        <x:v>Not evidenced by these deliveries</x:v>
      </x:c>
    </x:row>
    <x:row r="17" ht="110" customHeight="1">
      <x:c r="A17" s="22" t="str">
        <x:v>M012</x:v>
      </x:c>
      <x:c r="B17" s="22" t="str">
        <x:v>P1</x:v>
      </x:c>
      <x:c r="C17" s="22" t="str">
        <x:v>Identity, admin and session safety</x:v>
      </x:c>
      <x:c r="D17" s="22" t="str">
        <x:v>Prior source; acceptance open</x:v>
      </x:c>
      <x:c r="E17" s="22" t="str">
        <x:v>Reject OTP dry-run in production and redact all authentication secrets</x:v>
      </x:c>
      <x:c r="F17" s="22" t="str">
        <x:v>No new completion claim. Earlier evidence retained: No new implementation or completion claim in Increment05.</x:v>
      </x:c>
      <x:c r="G17" s="22" t="str">
        <x:v>Deployment gate rejects WHATSAPP_CLOUD_DRY_RUN in production; sanitized config readback and log fixtures show no OTP/full phone; testing still uses explicitly isolated fixtures.</x:v>
      </x:c>
      <x:c r="H17" s="22" t="str">
        <x:v>Backend + DevOps</x:v>
      </x:c>
      <x:c r="I17" s="22" t="str">
        <x:v>M002</x:v>
      </x:c>
      <x:c r="J17" s="22" t="str">
        <x:v>Unassigned</x:v>
      </x:c>
      <x:c r="K17" s="22" t="str">
        <x:v>Not evidenced by these deliveries</x:v>
      </x:c>
    </x:row>
    <x:row r="18" ht="110" customHeight="1">
      <x:c r="A18" s="22" t="str">
        <x:v>M013</x:v>
      </x:c>
      <x:c r="B18" s="22" t="str">
        <x:v>P2</x:v>
      </x:c>
      <x:c r="C18" s="22" t="str">
        <x:v>Identity, admin and session safety</x:v>
      </x:c>
      <x:c r="D18" s="22" t="str">
        <x:v>Open; not advanced in Increment06</x:v>
      </x:c>
      <x:c r="E18" s="22" t="str">
        <x:v>Choose an explicit Play Integrity policy and bind/consume protected requests</x:v>
      </x:c>
      <x:c r="F18" s="22" t="str">
        <x:v>No new completion claim. Earlier evidence retained: No new implementation or completion claim in Increment05.</x:v>
      </x:c>
      <x:c r="G18" s="22" t="str">
        <x:v>Document acceptable device/app verdicts and exceptions; replay/content-substitution fixtures fail where required; monitor-to-enforce decision uses measured false rejects and does not indiscriminately block users.</x:v>
      </x:c>
      <x:c r="H18" s="22" t="str">
        <x:v>Android + backend + security</x:v>
      </x:c>
      <x:c r="I18" s="22" t="str">
        <x:v>M003; M091</x:v>
      </x:c>
      <x:c r="J18" s="22" t="str">
        <x:v>Unassigned</x:v>
      </x:c>
      <x:c r="K18" s="22" t="str">
        <x:v>Not evidenced by these deliveries</x:v>
      </x:c>
    </x:row>
    <x:row r="19" ht="110" customHeight="1">
      <x:c r="A19" s="22" t="str">
        <x:v>M014</x:v>
      </x:c>
      <x:c r="B19" s="22" t="str">
        <x:v>P2</x:v>
      </x:c>
      <x:c r="C19" s="22" t="str">
        <x:v>Identity, admin and session safety</x:v>
      </x:c>
      <x:c r="D19" s="22" t="str">
        <x:v>Open; not advanced in Increment06</x:v>
      </x:c>
      <x:c r="E19" s="22" t="str">
        <x:v>Verify admin browser persistence, CSP and session revocation against an explicit threat model</x:v>
      </x:c>
      <x:c r="F19" s="22" t="str">
        <x:v>No new completion claim. Earlier evidence retained: No new implementation or completion claim in Increment05.</x:v>
      </x:c>
      <x:c r="G19" s="22" t="str">
        <x:v>Approved persistence policy, effective headers and browser expiry/revoke/role-change tests recorded; cached pages and service workers expose no prior-account sensitive data.</x:v>
      </x:c>
      <x:c r="H19" s="22" t="str">
        <x:v>Web + security</x:v>
      </x:c>
      <x:c r="I19" s="22" t="str">
        <x:v>M009</x:v>
      </x:c>
      <x:c r="J19" s="22" t="str">
        <x:v>Unassigned</x:v>
      </x:c>
      <x:c r="K19" s="22" t="str">
        <x:v>Not evidenced by these deliveries</x:v>
      </x:c>
    </x:row>
    <x:row r="20" ht="110" customHeight="1">
      <x:c r="A20" s="22" t="str">
        <x:v>M015</x:v>
      </x:c>
      <x:c r="B20" s="22" t="str">
        <x:v>P0</x:v>
      </x:c>
      <x:c r="C20" s="22" t="str">
        <x:v>Booking, wallet and financial evidence</x:v>
      </x:c>
      <x:c r="D20" s="22" t="str">
        <x:v>Prior source; acceptance open</x:v>
      </x:c>
      <x:c r="E20" s="22" t="str">
        <x:v>Remove passenger authority to self-confirm or mark a booking paid</x:v>
      </x:c>
      <x:c r="F20" s="22" t="str">
        <x:v>No new completion claim. Earlier evidence retained: No new implementation or completion claim in Increment05.</x:v>
      </x:c>
      <x:c r="G20" s="22" t="str">
        <x:v>Direct PostgREST attempts to set confirmed/paid, paid_at, receipt, price, route or seat authority fail for passengers; only trusted transactional RPCs can make valid transitions.</x:v>
      </x:c>
      <x:c r="H20" s="22" t="str">
        <x:v>Backend + security</x:v>
      </x:c>
      <x:c r="I20" s="22" t="str">
        <x:v>M004</x:v>
      </x:c>
      <x:c r="J20" s="22" t="str">
        <x:v>Unassigned</x:v>
      </x:c>
      <x:c r="K20" s="22" t="str">
        <x:v>Not evidenced by these deliveries</x:v>
      </x:c>
    </x:row>
    <x:row r="21" ht="110" customHeight="1">
      <x:c r="A21" s="22" t="str">
        <x:v>M016</x:v>
      </x:c>
      <x:c r="B21" s="22" t="str">
        <x:v>P0</x:v>
      </x:c>
      <x:c r="C21" s="22" t="str">
        <x:v>Booking, wallet and financial evidence</x:v>
      </x:c>
      <x:c r="D21" s="22" t="str">
        <x:v>Prior source; acceptance open</x:v>
      </x:c>
      <x:c r="E21" s="22" t="str">
        <x:v>Require strong payment evidence before automatic subscription activation</x:v>
      </x:c>
      <x:c r="F21" s="22" t="str">
        <x:v>No new completion claim. Earlier evidence retained: No new implementation or completion claim in Increment05.</x:v>
      </x:c>
      <x:c r="G21" s="22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H21" s="22" t="str">
        <x:v>Backend + payments owner</x:v>
      </x:c>
      <x:c r="I21" s="22" t="str">
        <x:v>M020; M026</x:v>
      </x:c>
      <x:c r="J21" s="22" t="str">
        <x:v>Unassigned</x:v>
      </x:c>
      <x:c r="K21" s="22" t="str">
        <x:v>Not evidenced by these deliveries</x:v>
      </x:c>
    </x:row>
    <x:row r="22" ht="110" customHeight="1">
      <x:c r="A22" s="22" t="str">
        <x:v>M017</x:v>
      </x:c>
      <x:c r="B22" s="22" t="str">
        <x:v>P1</x:v>
      </x:c>
      <x:c r="C22" s="22" t="str">
        <x:v>Booking, wallet and financial evidence</x:v>
      </x:c>
      <x:c r="D22" s="22" t="str">
        <x:v>Prior source; acceptance open</x:v>
      </x:c>
      <x:c r="E22" s="22" t="str">
        <x:v>Make booking holds idempotent and durably expire/release seats</x:v>
      </x:c>
      <x:c r="F22" s="22" t="str">
        <x:v>No new completion claim. Earlier evidence retained: No new implementation or completion claim in Increment05.</x:v>
      </x:c>
      <x:c r="G22" s="22" t="str">
        <x:v>Bounded expiry job, cancellation and hold idempotency work; concurrent last-seat/expiry/confirmation tests conserve inventory and never produce negative or stranded seats.</x:v>
      </x:c>
      <x:c r="H22" s="22" t="str">
        <x:v>Backend + database QA</x:v>
      </x:c>
      <x:c r="I22" s="22" t="str">
        <x:v>M015</x:v>
      </x:c>
      <x:c r="J22" s="22" t="str">
        <x:v>Unassigned</x:v>
      </x:c>
      <x:c r="K22" s="22" t="str">
        <x:v>Not evidenced by these deliveries</x:v>
      </x:c>
    </x:row>
    <x:row r="23" ht="110" customHeight="1">
      <x:c r="A23" s="22" t="str">
        <x:v>M018</x:v>
      </x:c>
      <x:c r="B23" s="22" t="str">
        <x:v>P1</x:v>
      </x:c>
      <x:c r="C23" s="22" t="str">
        <x:v>Booking, wallet and financial evidence</x:v>
      </x:c>
      <x:c r="D23" s="22" t="str">
        <x:v>Prior source; acceptance open</x:v>
      </x:c>
      <x:c r="E23" s="22" t="str">
        <x:v>Bind one provider receipt atomically to one intended booking and exact amount/currency</x:v>
      </x:c>
      <x:c r="F23" s="22" t="str">
        <x:v>No new completion claim. Earlier evidence retained: No new implementation or completion claim in Increment05.</x:v>
      </x:c>
      <x:c r="G23" s="22" t="str">
        <x:v>Duplicate reference on same booking is idempotent; reference reuse on another booking is rejected; amount/currency and issuer authority are checked under concurrent confirmation.</x:v>
      </x:c>
      <x:c r="H23" s="22" t="str">
        <x:v>Backend + payments owner</x:v>
      </x:c>
      <x:c r="I23" s="22" t="str">
        <x:v>M015; M020</x:v>
      </x:c>
      <x:c r="J23" s="22" t="str">
        <x:v>Unassigned</x:v>
      </x:c>
      <x:c r="K23" s="22" t="str">
        <x:v>Not evidenced by these deliveries</x:v>
      </x:c>
    </x:row>
    <x:row r="24" ht="110" customHeight="1">
      <x:c r="A24" s="22" t="str">
        <x:v>M019</x:v>
      </x:c>
      <x:c r="B24" s="22" t="str">
        <x:v>P1</x:v>
      </x:c>
      <x:c r="C24" s="22" t="str">
        <x:v>Booking, wallet and financial evidence</x:v>
      </x:c>
      <x:c r="D24" s="22" t="str">
        <x:v>Prior source; acceptance open</x:v>
      </x:c>
      <x:c r="E24" s="22" t="str">
        <x:v>Serialize paid subscription renewals by profile and vehicle type</x:v>
      </x:c>
      <x:c r="F24" s="22" t="str">
        <x:v>No new completion claim. Earlier evidence retained: No new implementation or completion claim in Increment05.</x:v>
      </x:c>
      <x:c r="G24" s="22" t="str">
        <x:v>Deterministic two-session test with distinct receipts preserves both paid durations without overlap; duplicate invoice retry creates exactly one activation; expiry boundaries are explicit.</x:v>
      </x:c>
      <x:c r="H24" s="22" t="str">
        <x:v>Backend + database QA</x:v>
      </x:c>
      <x:c r="I24" s="22" t="str">
        <x:v>M016</x:v>
      </x:c>
      <x:c r="J24" s="22" t="str">
        <x:v>Unassigned</x:v>
      </x:c>
      <x:c r="K24" s="22" t="str">
        <x:v>Not evidenced by these deliveries</x:v>
      </x:c>
    </x:row>
    <x:row r="25" ht="110" customHeight="1">
      <x:c r="A25" s="22" t="str">
        <x:v>M020</x:v>
      </x:c>
      <x:c r="B25" s="22" t="str">
        <x:v>P1</x:v>
      </x:c>
      <x:c r="C25" s="22" t="str">
        <x:v>Booking, wallet and financial evidence</x:v>
      </x:c>
      <x:c r="D25" s="22" t="str">
        <x:v>Prior source; acceptance open</x:v>
      </x:c>
      <x:c r="E25" s="22" t="str">
        <x:v>Make merchant identity, currency and receipt formats explicit validated configuration</x:v>
      </x:c>
      <x:c r="F25" s="22" t="str">
        <x:v>No new completion claim. Earlier evidence retained: No new implementation or completion claim in Increment05.</x:v>
      </x:c>
      <x:c r="G25" s="22" t="str">
        <x:v>Each enabled collector maps to approved merchant/account/operator/currency and parser fixtures; missing or wrong configuration blocks auto-credit with visible reason; no guessed merchant identifier.</x:v>
      </x:c>
      <x:c r="H25" s="22" t="str">
        <x:v>Payments operations + backend</x:v>
      </x:c>
      <x:c r="I25" s="22" t="str">
        <x:v>Approved merchant/operator inventory</x:v>
      </x:c>
      <x:c r="J25" s="22" t="str">
        <x:v>Unassigned</x:v>
      </x:c>
      <x:c r="K25" s="22" t="str">
        <x:v>Not evidenced by these deliveries</x:v>
      </x:c>
    </x:row>
    <x:row r="26" ht="110" customHeight="1">
      <x:c r="A26" s="22" t="str">
        <x:v>M021</x:v>
      </x:c>
      <x:c r="B26" s="22" t="str">
        <x:v>P1</x:v>
      </x:c>
      <x:c r="C26" s="22" t="str">
        <x:v>Booking, wallet and financial evidence</x:v>
      </x:c>
      <x:c r="D26" s="22" t="str">
        <x:v>Prior source; acceptance open</x:v>
      </x:c>
      <x:c r="E26" s="22" t="str">
        <x:v>Use durable account-scoped wallet operation IDs and reconcile uncertain outcomes</x:v>
      </x:c>
      <x:c r="F26" s="22" t="str">
        <x:v>No new completion claim. Earlier evidence retained: Full-stack owner-bound wallet journal with server unresolved slot, prepare/execute/status/close and guarded client recovery implemented.</x:v>
      </x:c>
      <x:c r="G26" s="22" t="str">
        <x:v>Execute original financial functions under concurrency/failure injection; reconcile legacy uncertain requests and stage compatible-client cutover.</x:v>
      </x:c>
      <x:c r="H26" s="22" t="str">
        <x:v>Flutter + backend</x:v>
      </x:c>
      <x:c r="I26" s="22" t="str">
        <x:v>M003; M006; M054</x:v>
      </x:c>
      <x:c r="J26" s="22" t="str">
        <x:v>Unassigned</x:v>
      </x:c>
      <x:c r="K26" s="22" t="str">
        <x:v>Not evidenced by these deliveries</x:v>
      </x:c>
    </x:row>
    <x:row r="27" ht="110" customHeight="1">
      <x:c r="A27" s="22" t="str">
        <x:v>M022</x:v>
      </x:c>
      <x:c r="B27" s="22" t="str">
        <x:v>P1</x:v>
      </x:c>
      <x:c r="C27" s="22" t="str">
        <x:v>Booking, wallet and financial evidence</x:v>
      </x:c>
      <x:c r="D27" s="22" t="str">
        <x:v>Open; not advanced in Increment06</x:v>
      </x:c>
      <x:c r="E27" s="22" t="str">
        <x:v>Specify and test refunds, cancellation, monetary precision and time boundaries</x:v>
      </x:c>
      <x:c r="F27" s="22" t="str">
        <x:v>No new completion claim. Earlier evidence retained: No new implementation or completion claim in Increment05.</x:v>
      </x:c>
      <x:c r="G27" s="22" t="str">
        <x:v>Approved rules and tests cover invalid/zero/negative/large amounts, currency, timezone/day rollover, duplicate refund, cancellation after payment and reconciliation; no new settlement engine is introduced.</x:v>
      </x:c>
      <x:c r="H27" s="22" t="str">
        <x:v>Product + payments + backend</x:v>
      </x:c>
      <x:c r="I27" s="22" t="str">
        <x:v>M017; M018; M019; M024</x:v>
      </x:c>
      <x:c r="J27" s="22" t="str">
        <x:v>Unassigned</x:v>
      </x:c>
      <x:c r="K27" s="22" t="str">
        <x:v>Not evidenced by these deliveries</x:v>
      </x:c>
    </x:row>
    <x:row r="28" ht="110" customHeight="1">
      <x:c r="A28" s="22" t="str">
        <x:v>M023</x:v>
      </x:c>
      <x:c r="B28" s="22" t="str">
        <x:v>P1</x:v>
      </x:c>
      <x:c r="C28" s="22" t="str">
        <x:v>Booking, wallet and financial evidence</x:v>
      </x:c>
      <x:c r="D28" s="22" t="str">
        <x:v>Prior source; acceptance open</x:v>
      </x:c>
      <x:c r="E28" s="22" t="str">
        <x:v>Reconcile collector receipts, ingestion outcomes and activated invoices with operator records</x:v>
      </x:c>
      <x:c r="F28" s="22" t="str">
        <x:v>No new completion claim. Earlier evidence retained: Read-only normalized-export reconciliation CLI implemented; 24 executable synthetic tests passed.</x:v>
      </x:c>
      <x:c r="G28" s="22" t="str">
        <x:v>Build/approve real source export adapters and cutoffs; authenticate operator records independently; operationalize daily review and audited resolution.</x:v>
      </x:c>
      <x:c r="H28" s="22" t="str">
        <x:v>Payments operations + backend</x:v>
      </x:c>
      <x:c r="I28" s="22" t="str">
        <x:v>M016; M028; M034</x:v>
      </x:c>
      <x:c r="J28" s="22" t="str">
        <x:v>Unassigned</x:v>
      </x:c>
      <x:c r="K28" s="22" t="str">
        <x:v>Not evidenced by these deliveries</x:v>
      </x:c>
    </x:row>
    <x:row r="29" ht="110" customHeight="1">
      <x:c r="A29" s="22" t="str">
        <x:v>M024</x:v>
      </x:c>
      <x:c r="B29" s="22" t="str">
        <x:v>P1</x:v>
      </x:c>
      <x:c r="C29" s="22" t="str">
        <x:v>Booking, wallet and financial evidence</x:v>
      </x:c>
      <x:c r="D29" s="22" t="str">
        <x:v>Open; not advanced in Increment06</x:v>
      </x:c>
      <x:c r="E29" s="22" t="str">
        <x:v>Obtain a feature-specific payments/transport classification and responsibility decision</x:v>
      </x:c>
      <x:c r="F29" s="22" t="str">
        <x:v>No new completion claim. Earlier evidence retained: No new implementation or completion claim in Increment05.</x:v>
      </x:c>
      <x:c r="G29" s="22" t="str">
        <x:v>Current primary rules and actual funds flow support a written decision for each enabled paid feature; provider/agency contracts, responsible entity and customer promises are recorded; unresolved features stay disabled.</x:v>
      </x:c>
      <x:c r="H29" s="22" t="str">
        <x:v>Product lead + qualified Rwanda counsel</x:v>
      </x:c>
      <x:c r="I29" s="22" t="str">
        <x:v>Feature and funds-flow draft; coordinate with refund design</x:v>
      </x:c>
      <x:c r="J29" s="22" t="str">
        <x:v>Unassigned</x:v>
      </x:c>
      <x:c r="K29" s="22" t="str">
        <x:v>Not evidenced by these deliveries</x:v>
      </x:c>
    </x:row>
    <x:row r="30" ht="110" customHeight="1">
      <x:c r="A30" s="22" t="str">
        <x:v>M025</x:v>
      </x:c>
      <x:c r="B30" s="22" t="str">
        <x:v>P1</x:v>
      </x:c>
      <x:c r="C30" s="22" t="str">
        <x:v>Institutional collector and intake</x:v>
      </x:c>
      <x:c r="D30" s="22" t="str">
        <x:v>Prior source; acceptance open</x:v>
      </x:c>
      <x:c r="E30" s="22" t="str">
        <x:v>Replace debug-keystore operational packaging with a managed production signing/update path</x:v>
      </x:c>
      <x:c r="F30" s="22" t="str">
        <x:v>No new completion claim. Earlier evidence retained: No new implementation or completion claim in Increment05.</x:v>
      </x:c>
      <x:c r="G30" s="22" t="str">
        <x:v>Distribution artifact uses approved managed signing; signature/version verified; enrolled request-signing identity and pending receipts survive supported updates or a documented controlled migration.</x:v>
      </x:c>
      <x:c r="H30" s="22" t="str">
        <x:v>Android release + fleet operations</x:v>
      </x:c>
      <x:c r="I30" s="22" t="str">
        <x:v>M002</x:v>
      </x:c>
      <x:c r="J30" s="22" t="str">
        <x:v>Unassigned</x:v>
      </x:c>
      <x:c r="K30" s="22" t="str">
        <x:v>Not evidenced by these deliveries</x:v>
      </x:c>
    </x:row>
    <x:row r="31" ht="110" customHeight="1">
      <x:c r="A31" s="22" t="str">
        <x:v>M026</x:v>
      </x:c>
      <x:c r="B31" s="22" t="str">
        <x:v>P1</x:v>
      </x:c>
      <x:c r="C31" s="22" t="str">
        <x:v>Institutional collector and intake</x:v>
      </x:c>
      <x:c r="D31" s="22" t="str">
        <x:v>Prior source; acceptance open</x:v>
      </x:c>
      <x:c r="E31" s="22" t="str">
        <x:v>Filter eligible receipt data on-device and present a clear upload/AI-processing notice</x:v>
      </x:c>
      <x:c r="F31" s="22" t="str">
        <x:v>No new completion claim. Earlier evidence retained: No new implementation or completion claim in Increment05.</x:v>
      </x:c>
      <x:c r="G31" s="22" t="str">
        <x:v>Unrelated sender/content fixtures never enter queue or network; notice explains purpose, recipients, retention and support before access; changed formats route to minimal controlled review without auto-credit.</x:v>
      </x:c>
      <x:c r="H31" s="22" t="str">
        <x:v>Android + privacy + payments</x:v>
      </x:c>
      <x:c r="I31" s="22" t="str">
        <x:v>M020</x:v>
      </x:c>
      <x:c r="J31" s="22" t="str">
        <x:v>Unassigned</x:v>
      </x:c>
      <x:c r="K31" s="22" t="str">
        <x:v>Not evidenced by these deliveries</x:v>
      </x:c>
    </x:row>
    <x:row r="32" ht="110" customHeight="1">
      <x:c r="A32" s="22" t="str">
        <x:v>M027</x:v>
      </x:c>
      <x:c r="B32" s="22" t="str">
        <x:v>P1</x:v>
      </x:c>
      <x:c r="C32" s="22" t="str">
        <x:v>Institutional collector and intake</x:v>
      </x:c>
      <x:c r="D32" s="22" t="str">
        <x:v>Prior source; acceptance open</x:v>
      </x:c>
      <x:c r="E32" s="22" t="str">
        <x:v>Document private fleet distribution and obtain SMS/FGS approval if using public Play</x:v>
      </x:c>
      <x:c r="F32" s="22" t="str">
        <x:v>No new completion claim. Earlier evidence retained: No new implementation or completion claim in Increment05.</x:v>
      </x:c>
      <x:c r="G32" s="22" t="str">
        <x:v>Actual channel and authorized device population recorded; applicable Play exception/permission and foreground-service review evidence supplied before public distribution; private-policy claims match access controls.</x:v>
      </x:c>
      <x:c r="H32" s="22" t="str">
        <x:v>Android release + compliance</x:v>
      </x:c>
      <x:c r="I32" s="22" t="str">
        <x:v>M025; M026</x:v>
      </x:c>
      <x:c r="J32" s="22" t="str">
        <x:v>Unassigned</x:v>
      </x:c>
      <x:c r="K32" s="22" t="str">
        <x:v>Not evidenced by these deliveries</x:v>
      </x:c>
    </x:row>
    <x:row r="33" ht="110" customHeight="1">
      <x:c r="A33" s="22" t="str">
        <x:v>M028</x:v>
      </x:c>
      <x:c r="B33" s="22" t="str">
        <x:v>P1</x:v>
      </x:c>
      <x:c r="C33" s="22" t="str">
        <x:v>Institutional collector and intake</x:v>
      </x:c>
      <x:c r="D33" s="22" t="str">
        <x:v>Prior source; acceptance open</x:v>
      </x:c>
      <x:c r="E33" s="22" t="str">
        <x:v>Use a transactional bounded receipt queue with corruption quarantine and retained acknowledgement state</x:v>
      </x:c>
      <x:c r="F33" s="22" t="str">
        <x:v>No new completion claim. Earlier evidence retained: No new implementation or completion claim in Increment05.</x:v>
      </x:c>
      <x:c r="G33" s="22" t="str">
        <x:v>Crash/restart/disk-full/corrupt-row and partial-ack tests preserve eligible records; bounded batches/age/bytes and dedupe retention verified; capacity alerts precede exhaustion; migration is lossless.</x:v>
      </x:c>
      <x:c r="H33" s="22" t="str">
        <x:v>Android + backend</x:v>
      </x:c>
      <x:c r="I33" s="22" t="str">
        <x:v>M026</x:v>
      </x:c>
      <x:c r="J33" s="22" t="str">
        <x:v>Unassigned</x:v>
      </x:c>
      <x:c r="K33" s="22" t="str">
        <x:v>Not evidenced by these deliveries</x:v>
      </x:c>
    </x:row>
    <x:row r="34" ht="110" customHeight="1">
      <x:c r="A34" s="22" t="str">
        <x:v>M029</x:v>
      </x:c>
      <x:c r="B34" s="22" t="str">
        <x:v>P1</x:v>
      </x:c>
      <x:c r="C34" s="22" t="str">
        <x:v>Institutional collector and intake</x:v>
      </x:c>
      <x:c r="D34" s="22" t="str">
        <x:v>Prior source; acceptance open</x:v>
      </x:c>
      <x:c r="E34" s="22" t="str">
        <x:v>Centralize collector work leasing, backoff and response handling</x:v>
      </x:c>
      <x:c r="F34" s="22" t="str">
        <x:v>No new completion claim. Earlier evidence retained: No new implementation or completion claim in Increment05.</x:v>
      </x:c>
      <x:c r="G34" s="22" t="str">
        <x:v>Test actual retry/timeout/offline delivery and operator reconciliation.</x:v>
      </x:c>
      <x:c r="H34" s="22" t="str">
        <x:v>Android + backend</x:v>
      </x:c>
      <x:c r="I34" s="22" t="str">
        <x:v>M028</x:v>
      </x:c>
      <x:c r="J34" s="22" t="str">
        <x:v>Unassigned</x:v>
      </x:c>
      <x:c r="K34" s="22" t="str">
        <x:v>Not evidenced by these deliveries</x:v>
      </x:c>
    </x:row>
    <x:row r="35" ht="110" customHeight="1">
      <x:c r="A35" s="22" t="str">
        <x:v>M030</x:v>
      </x:c>
      <x:c r="B35" s="22" t="str">
        <x:v>P1</x:v>
      </x:c>
      <x:c r="C35" s="22" t="str">
        <x:v>Institutional collector and intake</x:v>
      </x:c>
      <x:c r="D35" s="22" t="str">
        <x:v>Prior source; acceptance open</x:v>
      </x:c>
      <x:c r="E35" s="22" t="str">
        <x:v>Verify boot, force-stop, OEM battery and Android job-quota behavior on managed devices</x:v>
      </x:c>
      <x:c r="F35" s="22" t="str">
        <x:v>No new completion claim. Earlier evidence retained: No new implementation or completion claim in Increment05.</x:v>
      </x:c>
      <x:c r="G35" s="22" t="str">
        <x:v>Real fleet models pass reboot/update/offline/process-death/Doze/restricted-permission cases; force-stop and OEM limitations are visible with reconciliation instructions; no fictitious always-on guarantee.</x:v>
      </x:c>
      <x:c r="H35" s="22" t="str">
        <x:v>Android QA + fleet operations</x:v>
      </x:c>
      <x:c r="I35" s="22" t="str">
        <x:v>M025; M028; M029</x:v>
      </x:c>
      <x:c r="J35" s="22" t="str">
        <x:v>Unassigned</x:v>
      </x:c>
      <x:c r="K35" s="22" t="str">
        <x:v>Not evidenced by these deliveries</x:v>
      </x:c>
    </x:row>
    <x:row r="36" ht="110" customHeight="1">
      <x:c r="A36" s="22" t="str">
        <x:v>M031</x:v>
      </x:c>
      <x:c r="B36" s="22" t="str">
        <x:v>P1</x:v>
      </x:c>
      <x:c r="C36" s="22" t="str">
        <x:v>Institutional collector and intake</x:v>
      </x:c>
      <x:c r="D36" s="22" t="str">
        <x:v>Prior source; acceptance open</x:v>
      </x:c>
      <x:c r="E36" s="22" t="str">
        <x:v>Inventory deployed legacy SMS callers and retire or harden shared-secret ingest aliases</x:v>
      </x:c>
      <x:c r="F36" s="22" t="str">
        <x:v>No new completion claim. Earlier evidence retained: No new implementation or completion claim in Increment05.</x:v>
      </x:c>
      <x:c r="G36" s="22" t="str">
        <x:v>Deployed endpoint/caller inventory complete; unused routes return a controlled retirement response; retained routes use registered collector authority, replay/body/rate bounds and monitored migration.</x:v>
      </x:c>
      <x:c r="H36" s="22" t="str">
        <x:v>Backend + security + operations</x:v>
      </x:c>
      <x:c r="I36" s="22" t="str">
        <x:v>M016; M029</x:v>
      </x:c>
      <x:c r="J36" s="22" t="str">
        <x:v>Unassigned</x:v>
      </x:c>
      <x:c r="K36" s="22" t="str">
        <x:v>Not evidenced by these deliveries</x:v>
      </x:c>
    </x:row>
    <x:row r="37" ht="110" customHeight="1">
      <x:c r="A37" s="22" t="str">
        <x:v>M032</x:v>
      </x:c>
      <x:c r="B37" s="22" t="str">
        <x:v>P1</x:v>
      </x:c>
      <x:c r="C37" s="22" t="str">
        <x:v>Institutional collector and intake</x:v>
      </x:c>
      <x:c r="D37" s="22" t="str">
        <x:v>Prior source; acceptance open</x:v>
      </x:c>
      <x:c r="E37" s="22" t="str">
        <x:v>Persist authenticated receipt admission before asynchronous parsing and allocation</x:v>
      </x:c>
      <x:c r="F37" s="22" t="str">
        <x:v>No new completion claim. Earlier evidence retained: No new implementation or completion claim in Increment05.</x:v>
      </x:c>
      <x:c r="G37" s="22" t="str">
        <x:v>Execute body07, full-schema financial tests and real collector-to-worker staging end to end; then approve rollout.</x:v>
      </x:c>
      <x:c r="H37" s="22" t="str">
        <x:v>Backend + SRE</x:v>
      </x:c>
      <x:c r="I37" s="22" t="str">
        <x:v>M016; M028; M029</x:v>
      </x:c>
      <x:c r="J37" s="22" t="str">
        <x:v>Unassigned</x:v>
      </x:c>
      <x:c r="K37" s="22" t="str">
        <x:v>Not evidenced by these deliveries</x:v>
      </x:c>
    </x:row>
    <x:row r="38" ht="110" customHeight="1">
      <x:c r="A38" s="22" t="str">
        <x:v>M033</x:v>
      </x:c>
      <x:c r="B38" s="22" t="str">
        <x:v>P1</x:v>
      </x:c>
      <x:c r="C38" s="22" t="str">
        <x:v>Institutional collector and intake</x:v>
      </x:c>
      <x:c r="D38" s="22" t="str">
        <x:v>Prior source; acceptance open</x:v>
      </x:c>
      <x:c r="E38" s="22" t="str">
        <x:v>Establish dedicated institutional devices/SIMs, enrollment, revocation and replacement procedures</x:v>
      </x:c>
      <x:c r="F38" s="22" t="str">
        <x:v>No new completion claim. Earlier evidence retained: No new implementation or completion claim in Increment05.</x:v>
      </x:c>
      <x:c r="G38" s="22" t="str">
        <x:v>Named custodians and inventory; dedicated SIM restriction, screen/device protection, enrollment approval, lost-device revocation, replacement/export policy and staff training rehearsed with no personal-SMS collection.</x:v>
      </x:c>
      <x:c r="H38" s="22" t="str">
        <x:v>Fleet operations + security</x:v>
      </x:c>
      <x:c r="I38" s="22" t="str">
        <x:v>M025; M026; M027</x:v>
      </x:c>
      <x:c r="J38" s="22" t="str">
        <x:v>Unassigned</x:v>
      </x:c>
      <x:c r="K38" s="22" t="str">
        <x:v>Not evidenced by these deliveries</x:v>
      </x:c>
    </x:row>
    <x:row r="39" ht="110" customHeight="1">
      <x:c r="A39" s="22" t="str">
        <x:v>M034</x:v>
      </x:c>
      <x:c r="B39" s="22" t="str">
        <x:v>P1</x:v>
      </x:c>
      <x:c r="C39" s="22" t="str">
        <x:v>Institutional collector and intake</x:v>
      </x:c>
      <x:c r="D39" s="22" t="str">
        <x:v>Prior source; acceptance open</x:v>
      </x:c>
      <x:c r="E39" s="22" t="str">
        <x:v>Expose truthful enrolled/configured/connected/acknowledged state and backlog age</x:v>
      </x:c>
      <x:c r="F39" s="22" t="str">
        <x:v>No new completion claim. Earlier evidence retained: No new implementation or completion claim in Increment05.</x:v>
      </x:c>
      <x:c r="G39" s="22" t="str">
        <x:v>Exercise real fleet health, alerts, worker scheduling and acknowledgement semantics on devices.</x:v>
      </x:c>
      <x:c r="H39" s="22" t="str">
        <x:v>Android + operations</x:v>
      </x:c>
      <x:c r="I39" s="22" t="str">
        <x:v>M028; M029; M032</x:v>
      </x:c>
      <x:c r="J39" s="22" t="str">
        <x:v>Unassigned</x:v>
      </x:c>
      <x:c r="K39" s="22" t="str">
        <x:v>Not evidenced by these deliveries</x:v>
      </x:c>
    </x:row>
    <x:row r="40" ht="110" customHeight="1">
      <x:c r="A40" s="22" t="str">
        <x:v>M035</x:v>
      </x:c>
      <x:c r="B40" s="22" t="str">
        <x:v>P1</x:v>
      </x:c>
      <x:c r="C40" s="22" t="str">
        <x:v>Face service and matching</x:v>
      </x:c>
      <x:c r="D40" s="22" t="str">
        <x:v>Open; not advanced in Increment06</x:v>
      </x:c>
      <x:c r="E40" s="22" t="str">
        <x:v>Keep Face-USSD disabled until exact current scope is accepted and health surfaces agree</x:v>
      </x:c>
      <x:c r="F40" s="22" t="str">
        <x:v>No new completion claim. Earlier evidence retained: No new implementation or completion claim in Increment05.</x:v>
      </x:c>
      <x:c r="G40" s="22" t="str">
        <x:v>One versioned decision binds approved no-liveness recipient lookup, model/policy/index and health semantics; enablement requires acceptance; manual/QR alternatives remain usable; dialer launch never means settlement.</x:v>
      </x:c>
      <x:c r="H40" s="22" t="str">
        <x:v>Product + backend + release</x:v>
      </x:c>
      <x:c r="I40" s="22" t="str">
        <x:v>M036; M037; M038; M039; M040; M067; M068</x:v>
      </x:c>
      <x:c r="J40" s="22" t="str">
        <x:v>Unassigned</x:v>
      </x:c>
      <x:c r="K40" s="22" t="str">
        <x:v>Not evidenced by these deliveries</x:v>
      </x:c>
    </x:row>
    <x:row r="41" ht="110" customHeight="1">
      <x:c r="A41" s="22" t="str">
        <x:v>M036</x:v>
      </x:c>
      <x:c r="B41" s="22" t="str">
        <x:v>P1</x:v>
      </x:c>
      <x:c r="C41" s="22" t="str">
        <x:v>Face service and matching</x:v>
      </x:c>
      <x:c r="D41" s="22" t="str">
        <x:v>Open; not advanced in Increment06</x:v>
      </x:c>
      <x:c r="E41" s="22" t="str">
        <x:v>Build and verify the exact Linux inference image, models and private service bindings</x:v>
      </x:c>
      <x:c r="F41" s="22" t="str">
        <x:v>No new completion claim. Earlier evidence retained: No new implementation or completion claim in Increment05.</x:v>
      </x:c>
      <x:c r="G41" s="22" t="str">
        <x:v>Immutable image/model digests and licences recorded; real health/embed tests pass in Linux container; Worker authentication, private binding, index dimension/version and environment isolation verified.</x:v>
      </x:c>
      <x:c r="H41" s="22" t="str">
        <x:v>Platform + ML engineer</x:v>
      </x:c>
      <x:c r="I41" s="22" t="str">
        <x:v>M077; M082</x:v>
      </x:c>
      <x:c r="J41" s="22" t="str">
        <x:v>Unassigned</x:v>
      </x:c>
      <x:c r="K41" s="22" t="str">
        <x:v>Not evidenced by these deliveries</x:v>
      </x:c>
    </x:row>
    <x:row r="42" ht="110" customHeight="1">
      <x:c r="A42" s="22" t="str">
        <x:v>M037</x:v>
      </x:c>
      <x:c r="B42" s="22" t="str">
        <x:v>P1</x:v>
      </x:c>
      <x:c r="C42" s="22" t="str">
        <x:v>Face service and matching</x:v>
      </x:c>
      <x:c r="D42" s="22" t="str">
        <x:v>Open; not advanced in Increment06</x:v>
      </x:c>
      <x:c r="E42" s="22" t="str">
        <x:v>Rehearse latest face migrations, PostgREST/Edge, Vault and scheduled maintenance together</x:v>
      </x:c>
      <x:c r="F42" s="22" t="str">
        <x:v>No new completion claim. Earlier evidence retained: No new implementation or completion claim in Increment05.</x:v>
      </x:c>
      <x:c r="G42" s="22" t="str">
        <x:v>Full-schema rehearsal verifies exact RPC argument/privilege/session contract; deployment history, secrets presence and scheduled execution read back; activation and deletion converge after provider interruption.</x:v>
      </x:c>
      <x:c r="H42" s="22" t="str">
        <x:v>Backend + platform + database QA</x:v>
      </x:c>
      <x:c r="I42" s="22" t="str">
        <x:v>M036; M078</x:v>
      </x:c>
      <x:c r="J42" s="22" t="str">
        <x:v>Unassigned</x:v>
      </x:c>
      <x:c r="K42" s="22" t="str">
        <x:v>Not evidenced by these deliveries</x:v>
      </x:c>
    </x:row>
    <x:row r="43" ht="110" customHeight="1">
      <x:c r="A43" s="22" t="str">
        <x:v>M038</x:v>
      </x:c>
      <x:c r="B43" s="22" t="str">
        <x:v>P1</x:v>
      </x:c>
      <x:c r="C43" s="22" t="str">
        <x:v>Face service and matching</x:v>
      </x:c>
      <x:c r="D43" s="22" t="str">
        <x:v>Open; not advanced in Increment06</x:v>
      </x:c>
      <x:c r="E43" s="22" t="str">
        <x:v>Calibrate and independently accept matching thresholds and cross-owner margins</x:v>
      </x:c>
      <x:c r="F43" s="22" t="str">
        <x:v>No new completion claim. Earlier evidence retained: No new implementation or completion claim in Increment05.</x:v>
      </x:c>
      <x:c r="G43" s="22" t="str">
        <x:v>Pre-agreed error/latency criteria; held-out consented cohort covering lighting, skin tones, age and devices; report denominators, gallery size, uncertainty and thresholds/model hash; ambiguous matches fail safely.</x:v>
      </x:c>
      <x:c r="H43" s="22" t="str">
        <x:v>ML QA + product + privacy</x:v>
      </x:c>
      <x:c r="I43" s="22" t="str">
        <x:v>M036; M067; M068</x:v>
      </x:c>
      <x:c r="J43" s="22" t="str">
        <x:v>Unassigned</x:v>
      </x:c>
      <x:c r="K43" s="22" t="str">
        <x:v>Not evidenced by these deliveries</x:v>
      </x:c>
    </x:row>
    <x:row r="44" ht="110" customHeight="1">
      <x:c r="A44" s="22" t="str">
        <x:v>M039</x:v>
      </x:c>
      <x:c r="B44" s="22" t="str">
        <x:v>P1</x:v>
      </x:c>
      <x:c r="C44" s="22" t="str">
        <x:v>Face service and matching</x:v>
      </x:c>
      <x:c r="D44" s="22" t="str">
        <x:v>Open; not advanced in Increment06</x:v>
      </x:c>
      <x:c r="E44" s="22" t="str">
        <x:v>Exercise pause/remove/replacement and delayed-upsert cleanup end to end</x:v>
      </x:c>
      <x:c r="F44" s="22" t="str">
        <x:v>No new completion claim. Earlier evidence retained: No new implementation or completion claim in Increment05.</x:v>
      </x:c>
      <x:c r="G44" s="22" t="str">
        <x:v>Immediate discovery exclusion plus eventual verified vector absence; cancellation, replacement, delayed insert, provider outage and restored-backup cases pass; cleanup owner/SLA and tombstone retention approved.</x:v>
      </x:c>
      <x:c r="H44" s="22" t="str">
        <x:v>Backend QA + privacy + operations</x:v>
      </x:c>
      <x:c r="I44" s="22" t="str">
        <x:v>M036; M037</x:v>
      </x:c>
      <x:c r="J44" s="22" t="str">
        <x:v>Unassigned</x:v>
      </x:c>
      <x:c r="K44" s="22" t="str">
        <x:v>Not evidenced by these deliveries</x:v>
      </x:c>
    </x:row>
    <x:row r="45" ht="110" customHeight="1">
      <x:c r="A45" s="22" t="str">
        <x:v>M040</x:v>
      </x:c>
      <x:c r="B45" s="22" t="str">
        <x:v>P1</x:v>
      </x:c>
      <x:c r="C45" s="22" t="str">
        <x:v>Face service and matching</x:v>
      </x:c>
      <x:c r="D45" s="22" t="str">
        <x:v>Open; not advanced in Increment06</x:v>
      </x:c>
      <x:c r="E45" s="22" t="str">
        <x:v>Run physical-device face capture through one correct operator dialer handoff</x:v>
      </x:c>
      <x:c r="F45" s="22" t="str">
        <x:v>No new completion claim. Earlier evidence retained: No new implementation or completion claim in Increment05.</x:v>
      </x:c>
      <x:c r="G45" s="22" t="str">
        <x:v>Selected receiving method/number resolves correctly; changed/paused payee, timeout, interruption, cancellation, restart, dual-SIM and denial cases pass; one amount-free Android handoff; iOS fallback is clear.</x:v>
      </x:c>
      <x:c r="H45" s="22" t="str">
        <x:v>Mobile QA + operator liaison</x:v>
      </x:c>
      <x:c r="I45" s="22" t="str">
        <x:v>M036; M037; M038; M046; M051</x:v>
      </x:c>
      <x:c r="J45" s="22" t="str">
        <x:v>Unassigned</x:v>
      </x:c>
      <x:c r="K45" s="22" t="str">
        <x:v>Not evidenced by these deliveries</x:v>
      </x:c>
    </x:row>
    <x:row r="46" ht="110" customHeight="1">
      <x:c r="A46" s="22" t="str">
        <x:v>M041</x:v>
      </x:c>
      <x:c r="B46" s="22" t="str">
        <x:v>P1</x:v>
      </x:c>
      <x:c r="C46" s="22" t="str">
        <x:v>Face service and matching</x:v>
      </x:c>
      <x:c r="D46" s="22" t="str">
        <x:v>Open; not advanced in Increment06</x:v>
      </x:c>
      <x:c r="E46" s="22" t="str">
        <x:v>Measure cold/warm latency, burst admission and regional network performance at the launch workload</x:v>
      </x:c>
      <x:c r="F46" s="22" t="str">
        <x:v>No new completion claim. Earlier evidence retained: No new implementation or completion claim in Increment05.</x:v>
      </x:c>
      <x:c r="G46" s="22" t="str">
        <x:v>Approved workload and p95/error budget met from target Rwandan networks; report busy/cold-start/index latency/memory/CPU; bounded capacity and safe retry decisions use results rather than autoscaling assumptions.</x:v>
      </x:c>
      <x:c r="H46" s="22" t="str">
        <x:v>Performance + platform + ML</x:v>
      </x:c>
      <x:c r="I46" s="22" t="str">
        <x:v>M036; M038</x:v>
      </x:c>
      <x:c r="J46" s="22" t="str">
        <x:v>Unassigned</x:v>
      </x:c>
      <x:c r="K46" s="22" t="str">
        <x:v>Not evidenced by these deliveries</x:v>
      </x:c>
    </x:row>
    <x:row r="47" ht="110" customHeight="1">
      <x:c r="A47" s="22" t="str">
        <x:v>M042</x:v>
      </x:c>
      <x:c r="B47" s="22" t="str">
        <x:v>P2</x:v>
      </x:c>
      <x:c r="C47" s="22" t="str">
        <x:v>Face service and matching</x:v>
      </x:c>
      <x:c r="D47" s="22" t="str">
        <x:v>Prior source; acceptance open</x:v>
      </x:c>
      <x:c r="E47" s="22" t="str">
        <x:v>Use bounded production HTTP serving with graceful drain and failure limits</x:v>
      </x:c>
      <x:c r="F47" s="22" t="str">
        <x:v>No new completion claim. Earlier evidence retained: No new implementation or completion claim in Increment05.</x:v>
      </x:c>
      <x:c r="G47" s="22" t="str">
        <x:v>Saturation, slow/truncated/oversized body, concurrent request, termination during inference and restart tests pass; no raw payload logs or arbitrary URL fetch; concurrency and deadlines remain bounded.</x:v>
      </x:c>
      <x:c r="H47" s="22" t="str">
        <x:v>Backend + platform</x:v>
      </x:c>
      <x:c r="I47" s="22" t="str">
        <x:v>M036; M041</x:v>
      </x:c>
      <x:c r="J47" s="22" t="str">
        <x:v>Unassigned</x:v>
      </x:c>
      <x:c r="K47" s="22" t="str">
        <x:v>Not evidenced by these deliveries</x:v>
      </x:c>
    </x:row>
    <x:row r="48" ht="110" customHeight="1">
      <x:c r="A48" s="22" t="str">
        <x:v>M043</x:v>
      </x:c>
      <x:c r="B48" s="22" t="str">
        <x:v>P1</x:v>
      </x:c>
      <x:c r="C48" s="22" t="str">
        <x:v>Face service and matching</x:v>
      </x:c>
      <x:c r="D48" s="22" t="str">
        <x:v>Open; not advanced in Increment06</x:v>
      </x:c>
      <x:c r="E48" s="22" t="str">
        <x:v>Test cross-system enrollment/lookup races and fail-closed identity transitions</x:v>
      </x:c>
      <x:c r="F48" s="22" t="str">
        <x:v>No new completion claim. Earlier evidence retained: No new implementation or completion claim in Increment05.</x:v>
      </x:c>
      <x:c r="G48" s="22" t="str">
        <x:v>Concurrent enrollment/replacement, account switch, consent withdrawal, route change, expired ticket, model mismatch and ambiguous result cannot produce a stale payee handoff; retries preserve at-most-once semantics.</x:v>
      </x:c>
      <x:c r="H48" s="22" t="str">
        <x:v>Backend + Flutter QA</x:v>
      </x:c>
      <x:c r="I48" s="22" t="str">
        <x:v>M037; M039; M055</x:v>
      </x:c>
      <x:c r="J48" s="22" t="str">
        <x:v>Unassigned</x:v>
      </x:c>
      <x:c r="K48" s="22" t="str">
        <x:v>Not evidenced by these deliveries</x:v>
      </x:c>
    </x:row>
    <x:row r="49" ht="110" customHeight="1">
      <x:c r="A49" s="22" t="str">
        <x:v>M044</x:v>
      </x:c>
      <x:c r="B49" s="22" t="str">
        <x:v>P1</x:v>
      </x:c>
      <x:c r="C49" s="22" t="str">
        <x:v>Native, operators and stores</x:v>
      </x:c>
      <x:c r="D49" s="22" t="str">
        <x:v>Prior source; acceptance open</x:v>
      </x:c>
      <x:c r="E49" s="22" t="str">
        <x:v>Target API 36 and verify Android 16 behavior for the consumer release</x:v>
      </x:c>
      <x:c r="F49" s="22" t="str">
        <x:v>No new completion claim. Earlier evidence retained: No new implementation or completion claim in Increment05.</x:v>
      </x:c>
      <x:c r="G49" s="22" t="str">
        <x:v>Release manifest confirms target36; edge-to-edge, predictive back, large-screen layouts, foreground services and permissions pass; actual Play preflight/extension status recorded separately from existing-app availability.</x:v>
      </x:c>
      <x:c r="H49" s="22" t="str">
        <x:v>Android + Flutter + QA</x:v>
      </x:c>
      <x:c r="I49" s="22" t="str">
        <x:v>M074; M077</x:v>
      </x:c>
      <x:c r="J49" s="22" t="str">
        <x:v>Unassigned</x:v>
      </x:c>
      <x:c r="K49" s="22" t="str">
        <x:v>Not evidenced by these deliveries</x:v>
      </x:c>
    </x:row>
    <x:row r="50" ht="110" customHeight="1">
      <x:c r="A50" s="22" t="str">
        <x:v>M045</x:v>
      </x:c>
      <x:c r="B50" s="22" t="str">
        <x:v>P1</x:v>
      </x:c>
      <x:c r="C50" s="22" t="str">
        <x:v>Native, operators and stores</x:v>
      </x:c>
      <x:c r="D50" s="22" t="str">
        <x:v>Open; not advanced in Increment06</x:v>
      </x:c>
      <x:c r="E50" s="22" t="str">
        <x:v>Verify every shipped native library and release package on 16 KB pages</x:v>
      </x:c>
      <x:c r="F50" s="22" t="str">
        <x:v>No new completion claim. Earlier evidence retained: No new implementation or completion claim in Increment05.</x:v>
      </x:c>
      <x:c r="G50" s="22" t="str">
        <x:v>Inspect exact AAB/APKs and ELF/RELRO alignment, run zip alignment checks, install and exercise native/camera paths on 16 KB device/emulator; retain artifact evidence before 2027-02-01 update enforcement.</x:v>
      </x:c>
      <x:c r="H50" s="22" t="str">
        <x:v>Android release + QA</x:v>
      </x:c>
      <x:c r="I50" s="22" t="str">
        <x:v>M044; M081</x:v>
      </x:c>
      <x:c r="J50" s="22" t="str">
        <x:v>Unassigned</x:v>
      </x:c>
      <x:c r="K50" s="22" t="str">
        <x:v>Not evidenced by these deliveries</x:v>
      </x:c>
    </x:row>
    <x:row r="51" ht="110" customHeight="1">
      <x:c r="A51" s="22" t="str">
        <x:v>M046</x:v>
      </x:c>
      <x:c r="B51" s="22" t="str">
        <x:v>P1</x:v>
      </x:c>
      <x:c r="C51" s="22" t="str">
        <x:v>Native, operators and stores</x:v>
      </x:c>
      <x:c r="D51" s="22" t="str">
        <x:v>Open; not advanced in Increment06</x:v>
      </x:c>
      <x:c r="E51" s="22" t="str">
        <x:v>Produce a signed Xcode 26+ archive and verify production entitlements/device behavior</x:v>
      </x:c>
      <x:c r="F51" s="22" t="str">
        <x:v>No new completion claim. Earlier evidence retained: No new implementation or completion claim in Increment05.</x:v>
      </x:c>
      <x:c r="G51" s="22" t="str">
        <x:v>Xcode/iOS SDK versions asserted; signed archive entitlements/provisioning verified; TestFlight install, APNs, camera/location/NFC and recovery pass on supported iPhones; no native macOS product is implied.</x:v>
      </x:c>
      <x:c r="H51" s="22" t="str">
        <x:v>iOS release + QA</x:v>
      </x:c>
      <x:c r="I51" s="22" t="str">
        <x:v>M002; M077; M081</x:v>
      </x:c>
      <x:c r="J51" s="22" t="str">
        <x:v>Unassigned</x:v>
      </x:c>
      <x:c r="K51" s="22" t="str">
        <x:v>Not evidenced by these deliveries</x:v>
      </x:c>
    </x:row>
    <x:row r="52" ht="110" customHeight="1">
      <x:c r="A52" s="22" t="str">
        <x:v>M047</x:v>
      </x:c>
      <x:c r="B52" s="22" t="str">
        <x:v>P1</x:v>
      </x:c>
      <x:c r="C52" s="22" t="str">
        <x:v>Native, operators and stores</x:v>
      </x:c>
      <x:c r="D52" s="22" t="str">
        <x:v>Prior source; acceptance open</x:v>
      </x:c>
      <x:c r="E52" s="22" t="str">
        <x:v>Enforce NFC advertisement expiry and owner lifecycle in the native APDU service</x:v>
      </x:c>
      <x:c r="F52" s="22" t="str">
        <x:v>No new completion claim. Earlier evidence retained: No new implementation or completion claim in Increment05.</x:v>
      </x:c>
      <x:c r="G52" s="22" t="str">
        <x:v>Expired, signed-out, reset, changed-owner and restarted states cannot serve stale payload; exact APDU validation tested; explicit stop clears persistent material and UI reflects current state.</x:v>
      </x:c>
      <x:c r="H52" s="22" t="str">
        <x:v>Android + Flutter</x:v>
      </x:c>
      <x:c r="I52" s="22" t="str">
        <x:v>M007; M055</x:v>
      </x:c>
      <x:c r="J52" s="22" t="str">
        <x:v>Unassigned</x:v>
      </x:c>
      <x:c r="K52" s="22" t="str">
        <x:v>Not evidenced by these deliveries</x:v>
      </x:c>
    </x:row>
    <x:row r="53" ht="110" customHeight="1">
      <x:c r="A53" s="22" t="str">
        <x:v>M048</x:v>
      </x:c>
      <x:c r="B53" s="22" t="str">
        <x:v>P1</x:v>
      </x:c>
      <x:c r="C53" s="22" t="str">
        <x:v>Native, operators and stores</x:v>
      </x:c>
      <x:c r="D53" s="22" t="str">
        <x:v>Open; not advanced in Increment06</x:v>
      </x:c>
      <x:c r="E53" s="22" t="str">
        <x:v>Verify Android App Links and iOS Universal Links against actual signed application identities</x:v>
      </x:c>
      <x:c r="F53" s="22" t="str">
        <x:v>No new completion claim. Earlier evidence retained: No new implementation or completion claim in Increment05.</x:v>
      </x:c>
      <x:c r="G53" s="22" t="str">
        <x:v>Production association files match package/bundle and current signing identities; payment/auth/admin link open, malformed link, browser fallback and reinstall cases pass without open redirects or account confusion.</x:v>
      </x:c>
      <x:c r="H53" s="22" t="str">
        <x:v>Mobile + web release QA</x:v>
      </x:c>
      <x:c r="I53" s="22" t="str">
        <x:v>M002; M044; M046</x:v>
      </x:c>
      <x:c r="J53" s="22" t="str">
        <x:v>Unassigned</x:v>
      </x:c>
      <x:c r="K53" s="22" t="str">
        <x:v>Not evidenced by these deliveries</x:v>
      </x:c>
    </x:row>
    <x:row r="54" ht="110" customHeight="1">
      <x:c r="A54" s="22" t="str">
        <x:v>M049</x:v>
      </x:c>
      <x:c r="B54" s="22" t="str">
        <x:v>P1</x:v>
      </x:c>
      <x:c r="C54" s="22" t="str">
        <x:v>Native, operators and stores</x:v>
      </x:c>
      <x:c r="D54" s="22" t="str">
        <x:v>Open; not advanced in Increment06</x:v>
      </x:c>
      <x:c r="E54" s="22" t="str">
        <x:v>Align minimum permissions, background location and foreground-service declarations with visible product use</x:v>
      </x:c>
      <x:c r="F54" s="22" t="str">
        <x:v>No new completion claim. Earlier evidence retained: No new implementation or completion claim in Increment05.</x:v>
      </x:c>
      <x:c r="G54" s="22" t="str">
        <x:v>Permission-denied/revoked/background states behave safely; background location disclosure/video and applicable FGS purpose declarations accepted for actual release; no unused permissions or misleading always-on promise.</x:v>
      </x:c>
      <x:c r="H54" s="22" t="str">
        <x:v>Android/iOS + privacy + release</x:v>
      </x:c>
      <x:c r="I54" s="22" t="str">
        <x:v>M056; M065</x:v>
      </x:c>
      <x:c r="J54" s="22" t="str">
        <x:v>Unassigned</x:v>
      </x:c>
      <x:c r="K54" s="22" t="str">
        <x:v>Not evidenced by these deliveries</x:v>
      </x:c>
    </x:row>
    <x:row r="55" ht="110" customHeight="1">
      <x:c r="A55" s="22" t="str">
        <x:v>M050</x:v>
      </x:c>
      <x:c r="B55" s="22" t="str">
        <x:v>P1</x:v>
      </x:c>
      <x:c r="C55" s="22" t="str">
        <x:v>Native, operators and stores</x:v>
      </x:c>
      <x:c r="D55" s="22" t="str">
        <x:v>Open; not advanced in Increment06</x:v>
      </x:c>
      <x:c r="E55" s="22" t="str">
        <x:v>Audit bundled SDK data collection, required-reason APIs and archive privacy manifests</x:v>
      </x:c>
      <x:c r="F55" s="22" t="str">
        <x:v>No new completion claim. Earlier evidence retained: No new implementation or completion claim in Increment05.</x:v>
      </x:c>
      <x:c r="G55" s="22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H55" s="22" t="str">
        <x:v>iOS/Android + privacy</x:v>
      </x:c>
      <x:c r="I55" s="22" t="str">
        <x:v>M046; M065; M068</x:v>
      </x:c>
      <x:c r="J55" s="22" t="str">
        <x:v>Unassigned</x:v>
      </x:c>
      <x:c r="K55" s="22" t="str">
        <x:v>Not evidenced by these deliveries</x:v>
      </x:c>
    </x:row>
    <x:row r="56" ht="110" customHeight="1">
      <x:c r="A56" s="22" t="str">
        <x:v>M051</x:v>
      </x:c>
      <x:c r="B56" s="22" t="str">
        <x:v>P1</x:v>
      </x:c>
      <x:c r="C56" s="22" t="str">
        <x:v>Native, operators and stores</x:v>
      </x:c>
      <x:c r="D56" s="22" t="str">
        <x:v>Open; not advanced in Increment06</x:v>
      </x:c>
      <x:c r="E56" s="22" t="str">
        <x:v>Validate USSD/SMS on current Rwanda operators, SIM options and 4G/VoLTE devices</x:v>
      </x:c>
      <x:c r="F56" s="22" t="str">
        <x:v>No new completion claim. Earlier evidence retained: No new implementation or completion claim in Increment05.</x:v>
      </x:c>
      <x:c r="G56" s="22" t="str">
        <x:v>Approved handset/SIM/operator matrix covers dual-SIM, permission defaults, low coverage and 4G/VoLTE; track 2027-06-30 3G transition guidance without claiming USSD disappears; collector hardware choice is evidence-based.</x:v>
      </x:c>
      <x:c r="H56" s="22" t="str">
        <x:v>Operator liaison + mobile QA</x:v>
      </x:c>
      <x:c r="I56" s="22" t="str">
        <x:v>M044; M046</x:v>
      </x:c>
      <x:c r="J56" s="22" t="str">
        <x:v>Unassigned</x:v>
      </x:c>
      <x:c r="K56" s="22" t="str">
        <x:v>Not evidenced by these deliveries</x:v>
      </x:c>
    </x:row>
    <x:row r="57" ht="110" customHeight="1">
      <x:c r="A57" s="22" t="str">
        <x:v>M052</x:v>
      </x:c>
      <x:c r="B57" s="22" t="str">
        <x:v>P1</x:v>
      </x:c>
      <x:c r="C57" s="22" t="str">
        <x:v>Native, operators and stores</x:v>
      </x:c>
      <x:c r="D57" s="22" t="str">
        <x:v>Open; not advanced in Increment06</x:v>
      </x:c>
      <x:c r="E57" s="22" t="str">
        <x:v>Reconcile store content, version identity, age-rating questions and reviewer instructions</x:v>
      </x:c>
      <x:c r="F57" s="22" t="str">
        <x:v>No new completion claim. Earlier evidence retained: No new implementation or completion claim in Increment05.</x:v>
      </x:c>
      <x:c r="G57" s="22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H57" s="22" t="str">
        <x:v>Release + product + privacy</x:v>
      </x:c>
      <x:c r="I57" s="22" t="str">
        <x:v>M011; M044; M046; M050; M065</x:v>
      </x:c>
      <x:c r="J57" s="22" t="str">
        <x:v>Unassigned</x:v>
      </x:c>
      <x:c r="K57" s="22" t="str">
        <x:v>Not evidenced by these deliveries</x:v>
      </x:c>
    </x:row>
    <x:row r="58" ht="110" customHeight="1">
      <x:c r="A58" s="22" t="str">
        <x:v>M053</x:v>
      </x:c>
      <x:c r="B58" s="22" t="str">
        <x:v>P1</x:v>
      </x:c>
      <x:c r="C58" s="22" t="str">
        <x:v>Flutter, localization and accessibility</x:v>
      </x:c>
      <x:c r="D58" s="22" t="str">
        <x:v>Prior source; acceptance open</x:v>
      </x:c>
      <x:c r="E58" s="22" t="str">
        <x:v>Bound minimum bootstrap and defer optional Firebase/config/push work</x:v>
      </x:c>
      <x:c r="F58" s="22" t="str">
        <x:v>No new completion claim. Earlier evidence retained: Mandatory initialization bounded; main app no longer waits for optional Firebase/push/attribution; sanitized crash/error handling retained.</x:v>
      </x:c>
      <x:c r="G58" s="22" t="str">
        <x:v>Compile with pinned Flutter/SDK and measure actual offline/cold/warm startup, permissions and low-end device behavior.</x:v>
      </x:c>
      <x:c r="H58" s="22" t="str">
        <x:v>Flutter</x:v>
      </x:c>
      <x:c r="I58" s="22" t="str">
        <x:v>M012</x:v>
      </x:c>
      <x:c r="J58" s="22" t="str">
        <x:v>Unassigned</x:v>
      </x:c>
      <x:c r="K58" s="22" t="str">
        <x:v>Not evidenced by these deliveries</x:v>
      </x:c>
    </x:row>
    <x:row r="59" ht="110" customHeight="1">
      <x:c r="A59" s="22" t="str">
        <x:v>M054</x:v>
      </x:c>
      <x:c r="B59" s="22" t="str">
        <x:v>P1</x:v>
      </x:c>
      <x:c r="C59" s="22" t="str">
        <x:v>Flutter, localization and accessibility</x:v>
      </x:c>
      <x:c r="D59" s="22" t="str">
        <x:v>Advanced in Increment06</x:v>
      </x:c>
      <x:c r="E59" s="22" t="str">
        <x:v>Standardize request deadlines and distinguish unknown mutation outcomes from failure</x:v>
      </x:c>
      <x:c r="F59" s="22" t="str">
        <x:v>Chat keeps a stable request pointer through send uncertainty. Valid sent receipt remains sent even if subsequent acknowledgement/cleanup fails; explicit status/close flow added.</x:v>
      </x:c>
      <x:c r="G59" s="22" t="str">
        <x:v>Execute Dart and real database lost-send/lost-close/invalid-receipt tests; extend the common uncertain-mutation contract beyond chat and the prior wallet implementation.</x:v>
      </x:c>
      <x:c r="H59" s="22" t="str">
        <x:v>Flutter + backend</x:v>
      </x:c>
      <x:c r="I59" s="22" t="str">
        <x:v>M091; shared operation-outcome contract</x:v>
      </x:c>
      <x:c r="J59" s="22" t="str">
        <x:v>Unassigned</x:v>
      </x:c>
      <x:c r="K59" s="22" t="str">
        <x:v>Not evidenced by these deliveries</x:v>
      </x:c>
    </x:row>
    <x:row r="60" ht="110" customHeight="1">
      <x:c r="A60" s="22" t="str">
        <x:v>M055</x:v>
      </x:c>
      <x:c r="B60" s="22" t="str">
        <x:v>P1</x:v>
      </x:c>
      <x:c r="C60" s="22" t="str">
        <x:v>Flutter, localization and accessibility</x:v>
      </x:c>
      <x:c r="D60" s="22" t="str">
        <x:v>Advanced in Increment06</x:v>
      </x:c>
      <x:c r="E60" s="22" t="str">
        <x:v>Apply account and generation checks across Profile, shell, bookings and pending operations</x:v>
      </x:c>
      <x:c r="F60" s="22" t="str">
        <x:v>Chat bootstrap/profile/trip/send/report/block/handoff/history callbacks and delayed read markers have captured account/session checks; stale views are masked.</x:v>
      </x:c>
      <x:c r="G60" s="22" t="str">
        <x:v>Execute authored account-race tests on native/web and complete remaining shell, bookings and other callbacks; confirm realtime teardown even for paused consumers.</x:v>
      </x:c>
      <x:c r="H60" s="22" t="str">
        <x:v>Flutter</x:v>
      </x:c>
      <x:c r="I60" s="22" t="str">
        <x:v>M007</x:v>
      </x:c>
      <x:c r="J60" s="22" t="str">
        <x:v>Unassigned</x:v>
      </x:c>
      <x:c r="K60" s="22" t="str">
        <x:v>Not evidenced by these deliveries</x:v>
      </x:c>
    </x:row>
    <x:row r="61" ht="110" customHeight="1">
      <x:c r="A61" s="22" t="str">
        <x:v>M056</x:v>
      </x:c>
      <x:c r="B61" s="22" t="str">
        <x:v>P1</x:v>
      </x:c>
      <x:c r="C61" s="22" t="str">
        <x:v>Flutter, localization and accessibility</x:v>
      </x:c>
      <x:c r="D61" s="22" t="str">
        <x:v>Prior source; acceptance open</x:v>
      </x:c>
      <x:c r="E61" s="22" t="str">
        <x:v>Bind driver sharing to its account and enforce server freshness, radius and result caps</x:v>
      </x:c>
      <x:c r="F61" s="22" t="str">
        <x:v>No new completion claim. Earlier evidence retained: No new implementation or completion claim in Increment05.</x:v>
      </x:c>
      <x:c r="G61" s="22" t="str">
        <x:v>Concurrent start/stop/account changes cannot resurrect sharing; stale presence excluded on all surfaces; bounded radius/limit and coordinate precision follow purpose; denied/revoked permission marks unavailable/offline.</x:v>
      </x:c>
      <x:c r="H61" s="22" t="str">
        <x:v>Flutter + backend + privacy</x:v>
      </x:c>
      <x:c r="I61" s="22" t="str">
        <x:v>M007; M055</x:v>
      </x:c>
      <x:c r="J61" s="22" t="str">
        <x:v>Unassigned</x:v>
      </x:c>
      <x:c r="K61" s="22" t="str">
        <x:v>Not evidenced by these deliveries</x:v>
      </x:c>
    </x:row>
    <x:row r="62" ht="110" customHeight="1">
      <x:c r="A62" s="22" t="str">
        <x:v>M057</x:v>
      </x:c>
      <x:c r="B62" s="22" t="str">
        <x:v>P1</x:v>
      </x:c>
      <x:c r="C62" s="22" t="str">
        <x:v>Flutter, localization and accessibility</x:v>
      </x:c>
      <x:c r="D62" s="22" t="str">
        <x:v>Prior source; acceptance open</x:v>
      </x:c>
      <x:c r="E62" s="22" t="str">
        <x:v>Represent unknown/unavailable face state distinctly from not enrolled</x:v>
      </x:c>
      <x:c r="F62" s="22" t="str">
        <x:v>No new completion claim. Earlier evidence retained: No new implementation or completion claim in Increment05.</x:v>
      </x:c>
      <x:c r="G62" s="22" t="str">
        <x:v>Existing enrollment is never displayed as absent solely from service failure; loading, unavailable and approved cached state are distinct; retry and pause/remove recovery remain usable.</x:v>
      </x:c>
      <x:c r="H62" s="22" t="str">
        <x:v>Flutter</x:v>
      </x:c>
      <x:c r="I62" s="22" t="str">
        <x:v>M055</x:v>
      </x:c>
      <x:c r="J62" s="22" t="str">
        <x:v>Unassigned</x:v>
      </x:c>
      <x:c r="K62" s="22" t="str">
        <x:v>Not evidenced by these deliveries</x:v>
      </x:c>
    </x:row>
    <x:row r="63" ht="110" customHeight="1">
      <x:c r="A63" s="22" t="str">
        <x:v>M058</x:v>
      </x:c>
      <x:c r="B63" s="22" t="str">
        <x:v>P1</x:v>
      </x:c>
      <x:c r="C63" s="22" t="str">
        <x:v>Flutter, localization and accessibility</x:v>
      </x:c>
      <x:c r="D63" s="22" t="str">
        <x:v>Open; not advanced in Increment06</x:v>
      </x:c>
      <x:c r="E63" s="22" t="str">
        <x:v>Complete and review critical journeys in each promised launch language</x:v>
      </x:c>
      <x:c r="F63" s="22" t="str">
        <x:v>No new completion claim. Earlier evidence retained: No new implementation or completion claim in Increment05.</x:v>
      </x:c>
      <x:c r="G63" s="22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H63" s="22" t="str">
        <x:v>Flutter + localization + product</x:v>
      </x:c>
      <x:c r="I63" s="22" t="str">
        <x:v>M065</x:v>
      </x:c>
      <x:c r="J63" s="22" t="str">
        <x:v>Unassigned</x:v>
      </x:c>
      <x:c r="K63" s="22" t="str">
        <x:v>Not evidenced by these deliveries</x:v>
      </x:c>
    </x:row>
    <x:row r="64" ht="110" customHeight="1">
      <x:c r="A64" s="22" t="str">
        <x:v>M059</x:v>
      </x:c>
      <x:c r="B64" s="22" t="str">
        <x:v>P2</x:v>
      </x:c>
      <x:c r="C64" s="22" t="str">
        <x:v>Flutter, localization and accessibility</x:v>
      </x:c>
      <x:c r="D64" s="22" t="str">
        <x:v>Open; not advanced in Increment06</x:v>
      </x:c>
      <x:c r="E64" s="22" t="str">
        <x:v>Finish secondary/admin copy and locale-aware dates, pluralization and currency</x:v>
      </x:c>
      <x:c r="F64" s="22" t="str">
        <x:v>No new completion claim. Earlier evidence retained: No new implementation or completion claim in Increment05.</x:v>
      </x:c>
      <x:c r="G64" s="22" t="str">
        <x:v>Inventory of remaining hardcoded user-facing copy closed or explicitly deferred; each supported locale has reviewed plural/date/currency behavior and screenshots without truncation.</x:v>
      </x:c>
      <x:c r="H64" s="22" t="str">
        <x:v>Flutter + localization</x:v>
      </x:c>
      <x:c r="I64" s="22" t="str">
        <x:v>M058</x:v>
      </x:c>
      <x:c r="J64" s="22" t="str">
        <x:v>Unassigned</x:v>
      </x:c>
      <x:c r="K64" s="22" t="str">
        <x:v>Not evidenced by these deliveries</x:v>
      </x:c>
    </x:row>
    <x:row r="65" ht="110" customHeight="1">
      <x:c r="A65" s="22" t="str">
        <x:v>M060</x:v>
      </x:c>
      <x:c r="B65" s="22" t="str">
        <x:v>P1</x:v>
      </x:c>
      <x:c r="C65" s="22" t="str">
        <x:v>Flutter, localization and accessibility</x:v>
      </x:c>
      <x:c r="D65" s="22" t="str">
        <x:v>Open; not advanced in Increment06</x:v>
      </x:c>
      <x:c r="E65" s="22" t="str">
        <x:v>Run existing accessibility coverage and physical assistive-technology journey acceptance</x:v>
      </x:c>
      <x:c r="F65" s="22" t="str">
        <x:v>No new completion claim. Earlier evidence retained: No new implementation or completion claim in Increment05.</x:v>
      </x:c>
      <x:c r="G65" s="22" t="str">
        <x:v>TalkBack/VoiceOver, keyboard, 200% text, contrast/touch targets, focus, error announcements and reduced motion pass across accepted journeys and screen sizes; intended automatic handoff is clearly announced.</x:v>
      </x:c>
      <x:c r="H65" s="22" t="str">
        <x:v>QA + design + Flutter</x:v>
      </x:c>
      <x:c r="I65" s="22" t="str">
        <x:v>M053; M058; M076</x:v>
      </x:c>
      <x:c r="J65" s="22" t="str">
        <x:v>Unassigned</x:v>
      </x:c>
      <x:c r="K65" s="22" t="str">
        <x:v>Not evidenced by these deliveries</x:v>
      </x:c>
    </x:row>
    <x:row r="66" ht="110" customHeight="1">
      <x:c r="A66" s="22" t="str">
        <x:v>M061</x:v>
      </x:c>
      <x:c r="B66" s="22" t="str">
        <x:v>P2</x:v>
      </x:c>
      <x:c r="C66" s="22" t="str">
        <x:v>Flutter, localization and accessibility</x:v>
      </x:c>
      <x:c r="D66" s="22" t="str">
        <x:v>Advanced in Increment06</x:v>
      </x:c>
      <x:c r="E66" s="22" t="str">
        <x:v>Add stable client-message IDs, uncertain-send reconciliation and cursor history</x:v>
      </x:c>
      <x:c r="F66" s="22" t="str">
        <x:v>Full-stack source candidate: secure stable message UUIDs, immutable owner/body binding, retained cancellation tombstones, local metadata pointer, server status/close, newest-first keyset history and explicit recovery UI.</x:v>
      </x:c>
      <x:c r="G66" s="22" t="str">
        <x:v>Run the new Dart suites and isolated PostgreSQL17 component runner, then real Auth/full-schema multi-session tests and device/browser journeys. Coordinate old-client cutover; approve retention/capacity and history-refresh UX.</x:v>
      </x:c>
      <x:c r="H66" s="22" t="str">
        <x:v>Flutter + backend</x:v>
      </x:c>
      <x:c r="I66" s="22" t="str">
        <x:v>M007; M054</x:v>
      </x:c>
      <x:c r="J66" s="22" t="str">
        <x:v>Unassigned</x:v>
      </x:c>
      <x:c r="K66" s="22" t="str">
        <x:v>Not evidenced by these deliveries</x:v>
      </x:c>
    </x:row>
    <x:row r="67" ht="110" customHeight="1">
      <x:c r="A67" s="22" t="str">
        <x:v>M062</x:v>
      </x:c>
      <x:c r="B67" s="22" t="str">
        <x:v>P1</x:v>
      </x:c>
      <x:c r="C67" s="22" t="str">
        <x:v>Flutter, localization and accessibility</x:v>
      </x:c>
      <x:c r="D67" s="22" t="str">
        <x:v>Advanced in Increment06</x:v>
      </x:c>
      <x:c r="E67" s="22" t="str">
        <x:v>Implement exercised server feature controls and truthful client maintenance messaging</x:v>
      </x:c>
      <x:c r="F67" s="22" t="str">
        <x:v>Chat-specific server send switch starts OFF; authenticated clients read its state, new sends are denied when paused, and recovery/history remain available. Not a global feature-control completion.</x:v>
      </x:c>
      <x:c r="G67" s="22" t="str">
        <x:v>Rehearse authorized chat pause/resume/cutover with already-running clients; implement and accept the remaining feature-specific controls and shared maintenance/version transition.</x:v>
      </x:c>
      <x:c r="H67" s="22" t="str">
        <x:v>Backend + Flutter + SRE</x:v>
      </x:c>
      <x:c r="I67" s="22" t="str">
        <x:v>M015; M016; approved enabled-feature scope</x:v>
      </x:c>
      <x:c r="J67" s="22" t="str">
        <x:v>Unassigned</x:v>
      </x:c>
      <x:c r="K67" s="22" t="str">
        <x:v>Not evidenced by these deliveries</x:v>
      </x:c>
    </x:row>
    <x:row r="68" ht="110" customHeight="1">
      <x:c r="A68" s="22" t="str">
        <x:v>M063</x:v>
      </x:c>
      <x:c r="B68" s="22" t="str">
        <x:v>P2</x:v>
      </x:c>
      <x:c r="C68" s="22" t="str">
        <x:v>Flutter, localization and accessibility</x:v>
      </x:c>
      <x:c r="D68" s="22" t="str">
        <x:v>Open; not advanced in Increment06</x:v>
      </x:c>
      <x:c r="E68" s="22" t="str">
        <x:v>Refactor touched oversized screens and overloaded models into typed application/repository boundaries</x:v>
      </x:c>
      <x:c r="F68" s="22" t="str">
        <x:v>No new completion claim. Earlier evidence retained: No new implementation or completion claim in Increment05.</x:v>
      </x:c>
      <x:c r="G68" s="22" t="str">
        <x:v>Typed person/trip/member-ID and RPC outcome contracts replace lossy seams; changed workflows have focused tests; preserve Riverpod/GoRouter and avoid an unrelated framework rewrite.</x:v>
      </x:c>
      <x:c r="H68" s="22" t="str">
        <x:v>Flutter technical lead</x:v>
      </x:c>
      <x:c r="I68" s="22" t="str">
        <x:v>M006; M007; M054</x:v>
      </x:c>
      <x:c r="J68" s="22" t="str">
        <x:v>Unassigned</x:v>
      </x:c>
      <x:c r="K68" s="22" t="str">
        <x:v>Not evidenced by these deliveries</x:v>
      </x:c>
    </x:row>
    <x:row r="69" ht="110" customHeight="1">
      <x:c r="A69" s="22" t="str">
        <x:v>M064</x:v>
      </x:c>
      <x:c r="B69" s="22" t="str">
        <x:v>P2</x:v>
      </x:c>
      <x:c r="C69" s="22" t="str">
        <x:v>Flutter, localization and accessibility</x:v>
      </x:c>
      <x:c r="D69" s="22" t="str">
        <x:v>Open; not advanced in Increment06</x:v>
      </x:c>
      <x:c r="E69" s="22" t="str">
        <x:v>Measure release/profile launch, frame timing, camera memory and location battery cost</x:v>
      </x:c>
      <x:c r="F69" s="22" t="str">
        <x:v>No new completion claim. Earlier evidence retained: No new implementation or completion claim in Increment05.</x:v>
      </x:c>
      <x:c r="G69" s="22" t="str">
        <x:v>Representative lower-cost Android and iPhone reports include configuration and p50/p95; accepted budgets cover startup, jank, memory, upload size, battery/network and admin lists; optimize only demonstrated bottlenecks.</x:v>
      </x:c>
      <x:c r="H69" s="22" t="str">
        <x:v>Performance QA + Flutter/native</x:v>
      </x:c>
      <x:c r="I69" s="22" t="str">
        <x:v>M053; M056; M060</x:v>
      </x:c>
      <x:c r="J69" s="22" t="str">
        <x:v>Unassigned</x:v>
      </x:c>
      <x:c r="K69" s="22" t="str">
        <x:v>Not evidenced by these deliveries</x:v>
      </x:c>
    </x:row>
    <x:row r="70" ht="110" customHeight="1">
      <x:c r="A70" s="22" t="str">
        <x:v>M065</x:v>
      </x:c>
      <x:c r="B70" s="22" t="str">
        <x:v>P1</x:v>
      </x:c>
      <x:c r="C70" s="22" t="str">
        <x:v>Privacy, deletion and operating agreements</x:v>
      </x:c>
      <x:c r="D70" s="22" t="str">
        <x:v>Open; not advanced in Increment06</x:v>
      </x:c>
      <x:c r="E70" s="22" t="str">
        <x:v>Publish a current feature/data inventory and reconcile privacy, terms and deletion copy</x:v>
      </x:c>
      <x:c r="F70" s="22" t="str">
        <x:v>No new completion claim. Earlier evidence retained: No new implementation or completion claim in Increment05.</x:v>
      </x:c>
      <x:c r="G70" s="22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H70" s="22" t="str">
        <x:v>Privacy + product + engineering</x:v>
      </x:c>
      <x:c r="I70" s="22" t="str">
        <x:v>M068; M024 if paid features enabled; M067 for enabled high-risk features</x:v>
      </x:c>
      <x:c r="J70" s="22" t="str">
        <x:v>Unassigned</x:v>
      </x:c>
      <x:c r="K70" s="22" t="str">
        <x:v>Not evidenced by these deliveries</x:v>
      </x:c>
    </x:row>
    <x:row r="71" ht="110" customHeight="1">
      <x:c r="A71" s="22" t="str">
        <x:v>M066</x:v>
      </x:c>
      <x:c r="B71" s="22" t="str">
        <x:v>P1</x:v>
      </x:c>
      <x:c r="C71" s="22" t="str">
        <x:v>Privacy, deletion and operating agreements</x:v>
      </x:c>
      <x:c r="D71" s="22" t="str">
        <x:v>Open; not advanced in Increment06</x:v>
      </x:c>
      <x:c r="E71" s="22" t="str">
        <x:v>Record operator/controller registration, overseas-storage scope and accountable DPO</x:v>
      </x:c>
      <x:c r="F71" s="22" t="str">
        <x:v>No new completion claim. Earlier evidence retained: No new implementation or completion claim in Increment05.</x:v>
      </x:c>
      <x:c r="G71" s="22" t="str">
        <x:v>Current official requirements and entity applicability checked; certificate/expiry/conditions and DPO appointment/contact documented; outstanding conditions have owners and affected-feature decisions.</x:v>
      </x:c>
      <x:c r="H71" s="22" t="str">
        <x:v>Qualified Rwanda counsel + privacy lead</x:v>
      </x:c>
      <x:c r="I71" s="22" t="str">
        <x:v>Operator and enabled-feature inventory draft</x:v>
      </x:c>
      <x:c r="J71" s="22" t="str">
        <x:v>Unassigned</x:v>
      </x:c>
      <x:c r="K71" s="22" t="str">
        <x:v>Not evidenced by these deliveries</x:v>
      </x:c>
    </x:row>
    <x:row r="72" ht="110" customHeight="1">
      <x:c r="A72" s="22" t="str">
        <x:v>M067</x:v>
      </x:c>
      <x:c r="B72" s="22" t="str">
        <x:v>P1</x:v>
      </x:c>
      <x:c r="C72" s="22" t="str">
        <x:v>Privacy, deletion and operating agreements</x:v>
      </x:c>
      <x:c r="D72" s="22" t="str">
        <x:v>Open; not advanced in Increment06</x:v>
      </x:c>
      <x:c r="E72" s="22" t="str">
        <x:v>Complete a scoped impact/risk assessment for face lookup, location and institutional SMS</x:v>
      </x:c>
      <x:c r="F72" s="22" t="str">
        <x:v>No new completion claim. Earlier evidence retained: No new implementation or completion claim in Increment05.</x:v>
      </x:c>
      <x:c r="G72" s="22" t="str">
        <x:v>Document actual no-liveness lookup purpose, consent/withdrawal, false-match risk, unknown persons, retention, security and alternatives; approve residual risk before affected feature activation.</x:v>
      </x:c>
      <x:c r="H72" s="22" t="str">
        <x:v>Privacy lead + qualified counsel + security</x:v>
      </x:c>
      <x:c r="I72" s="22" t="str">
        <x:v>M024; M026; M056; M066</x:v>
      </x:c>
      <x:c r="J72" s="22" t="str">
        <x:v>Unassigned</x:v>
      </x:c>
      <x:c r="K72" s="22" t="str">
        <x:v>Not evidenced by these deliveries</x:v>
      </x:c>
    </x:row>
    <x:row r="73" ht="110" customHeight="1">
      <x:c r="A73" s="22" t="str">
        <x:v>M068</x:v>
      </x:c>
      <x:c r="B73" s="22" t="str">
        <x:v>P1</x:v>
      </x:c>
      <x:c r="C73" s="22" t="str">
        <x:v>Privacy, deletion and operating agreements</x:v>
      </x:c>
      <x:c r="D73" s="22" t="str">
        <x:v>Open; not advanced in Increment06</x:v>
      </x:c>
      <x:c r="E73" s="22" t="str">
        <x:v>Verify actual vendor regions, contracts, subprocessors and lawful overseas arrangements</x:v>
      </x:c>
      <x:c r="F73" s="22" t="str">
        <x:v>No new completion claim. Earlier evidence retained: No new implementation or completion claim in Increment05.</x:v>
      </x:c>
      <x:c r="G73" s="22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H73" s="22" t="str">
        <x:v>Privacy + platform + qualified counsel</x:v>
      </x:c>
      <x:c r="I73" s="22" t="str">
        <x:v>M066</x:v>
      </x:c>
      <x:c r="J73" s="22" t="str">
        <x:v>Unassigned</x:v>
      </x:c>
      <x:c r="K73" s="22" t="str">
        <x:v>Not evidenced by these deliveries</x:v>
      </x:c>
    </x:row>
    <x:row r="74" ht="116" customHeight="1">
      <x:c r="A74" s="22" t="str">
        <x:v>M069</x:v>
      </x:c>
      <x:c r="B74" s="22" t="str">
        <x:v>P1</x:v>
      </x:c>
      <x:c r="C74" s="22" t="str">
        <x:v>Privacy, deletion and operating agreements</x:v>
      </x:c>
      <x:c r="D74" s="22" t="str">
        <x:v>Open; not advanced in Increment06</x:v>
      </x:c>
      <x:c r="E74" s="22" t="str">
        <x:v>Implement authenticated deletion initiation, status and cross-store completion</x:v>
      </x:c>
      <x:c r="F74" s="22" t="str">
        <x:v>No new completion claim. Earlier evidence retained: No new implementation or completion claim in Increment05.</x:v>
      </x:c>
      <x:c r="G74" s="22" t="str">
        <x:v>Synthetic account deletion covers Auth sessions, SQL, Storage, push, vectors and applicable analytics; retries and legal retention exceptions tracked; in-app and web initiation/status work without hidden manual-only steps. Include new chat operation hashes, owner/conversation links and cancellation tombstones; no automatic retention/purge was implemented in Increment06.</x:v>
      </x:c>
      <x:c r="H74" s="22" t="str">
        <x:v>Backend + Flutter + privacy + support</x:v>
      </x:c>
      <x:c r="I74" s="22" t="str">
        <x:v>M007; M008; M065; M039 if Face enabled</x:v>
      </x:c>
      <x:c r="J74" s="22" t="str">
        <x:v>Unassigned</x:v>
      </x:c>
      <x:c r="K74" s="22" t="str">
        <x:v>Not evidenced by these deliveries</x:v>
      </x:c>
    </x:row>
    <x:row r="75" ht="158" customHeight="1">
      <x:c r="A75" s="22" t="str">
        <x:v>M070</x:v>
      </x:c>
      <x:c r="B75" s="22" t="str">
        <x:v>P1</x:v>
      </x:c>
      <x:c r="C75" s="22" t="str">
        <x:v>Privacy, deletion and operating agreements</x:v>
      </x:c>
      <x:c r="D75" s="22" t="str">
        <x:v>Open; not advanced in Increment06</x:v>
      </x:c>
      <x:c r="E75" s="22" t="str">
        <x:v>Set data-class retention and implement receipt-based request deadlines with verified purge</x:v>
      </x:c>
      <x:c r="F75" s="22" t="str">
        <x:v>No new completion claim. Earlier evidence retained: No new implementation or completion claim in Increment05.</x:v>
      </x:c>
      <x:c r="G75" s="22" t="str">
        <x:v>Approve periods, triggers, exceptions, backup treatment and purge owners. Within 30 days of request receipt, provide written/electronic substantive erasure notification under applicable rules; acknowledgement alone is insufficient. Verify completed deletion or justified retained-data decisions, staging purges and deletion replay after restore. Include new chat operation hashes, owner/conversation links and cancellation tombstones; no automatic retention/purge was implemented in Increment06.</x:v>
      </x:c>
      <x:c r="H75" s="22" t="str">
        <x:v>Privacy + backend + support</x:v>
      </x:c>
      <x:c r="I75" s="22" t="str">
        <x:v>M065; M069; retention and backup design</x:v>
      </x:c>
      <x:c r="J75" s="22" t="str">
        <x:v>Unassigned</x:v>
      </x:c>
      <x:c r="K75" s="22" t="str">
        <x:v>Not evidenced by these deliveries</x:v>
      </x:c>
    </x:row>
    <x:row r="76" ht="110" customHeight="1">
      <x:c r="A76" s="22" t="str">
        <x:v>M071</x:v>
      </x:c>
      <x:c r="B76" s="22" t="str">
        <x:v>P1</x:v>
      </x:c>
      <x:c r="C76" s="22" t="str">
        <x:v>Privacy, deletion and operating agreements</x:v>
      </x:c>
      <x:c r="D76" s="22" t="str">
        <x:v>Open; not advanced in Increment06</x:v>
      </x:c>
      <x:c r="E76" s="22" t="str">
        <x:v>Inventory and obtain scoped authorization to retire old face-only AWS data and credentials</x:v>
      </x:c>
      <x:c r="F76" s="22" t="str">
        <x:v>No new completion claim. Earlier evidence retained: No new implementation or completion claim in Increment05.</x:v>
      </x:c>
      <x:c r="G76" s="22" t="str">
        <x:v>Read-only account/resource inventory and owner decision; separately authorized named-resource deletion/key retirement receipts; no active AWS fallback and no unrelated shared resource loss.</x:v>
      </x:c>
      <x:c r="H76" s="22" t="str">
        <x:v>Platform + security + privacy</x:v>
      </x:c>
      <x:c r="I76" s="22" t="str">
        <x:v>M001; M065</x:v>
      </x:c>
      <x:c r="J76" s="22" t="str">
        <x:v>Unassigned</x:v>
      </x:c>
      <x:c r="K76" s="22" t="str">
        <x:v>Not evidenced by these deliveries</x:v>
      </x:c>
    </x:row>
    <x:row r="77" ht="110" customHeight="1">
      <x:c r="A77" s="22" t="str">
        <x:v>M072</x:v>
      </x:c>
      <x:c r="B77" s="22" t="str">
        <x:v>P1</x:v>
      </x:c>
      <x:c r="C77" s="22" t="str">
        <x:v>Privacy, deletion and operating agreements</x:v>
      </x:c>
      <x:c r="D77" s="22" t="str">
        <x:v>Open; not advanced in Increment06</x:v>
      </x:c>
      <x:c r="E77" s="22" t="str">
        <x:v>Decide and implement proportionate age rules for passenger, driver and face functions</x:v>
      </x:c>
      <x:c r="F77" s="22" t="str">
        <x:v>No new completion claim. Earlier evidence retained: No new implementation or completion claim in Increment05.</x:v>
      </x:c>
      <x:c r="G77" s="22" t="str">
        <x:v>Consistent per-role policy and proportionate declaration/restriction; underage reports and applicable guardian handling documented; no unnecessary identity-document collection introduced.</x:v>
      </x:c>
      <x:c r="H77" s="22" t="str">
        <x:v>Product + privacy + qualified counsel</x:v>
      </x:c>
      <x:c r="I77" s="22" t="str">
        <x:v>M065; M067</x:v>
      </x:c>
      <x:c r="J77" s="22" t="str">
        <x:v>Unassigned</x:v>
      </x:c>
      <x:c r="K77" s="22" t="str">
        <x:v>Not evidenced by these deliveries</x:v>
      </x:c>
    </x:row>
    <x:row r="78" ht="110" customHeight="1">
      <x:c r="A78" s="22" t="str">
        <x:v>M073</x:v>
      </x:c>
      <x:c r="B78" s="22" t="str">
        <x:v>P1</x:v>
      </x:c>
      <x:c r="C78" s="22" t="str">
        <x:v>Privacy, deletion and operating agreements</x:v>
      </x:c>
      <x:c r="D78" s="22" t="str">
        <x:v>Open; not advanced in Increment06</x:v>
      </x:c>
      <x:c r="E78" s="22" t="str">
        <x:v>Verify live authentication templates/delivery and separate marketing permissions</x:v>
      </x:c>
      <x:c r="F78" s="22" t="str">
        <x:v>No new completion claim. Earlier evidence retained: No new implementation or completion claim in Increment05.</x:v>
      </x:c>
      <x:c r="G78" s="22" t="str">
        <x:v>Approved WABA/number/template/category/language/components and supported Graph version recorded; real device delivery/resend/expired-code/outage recovery tested; campaign opt-out suppresses future promotional sends.</x:v>
      </x:c>
      <x:c r="H78" s="22" t="str">
        <x:v>Messaging operations + backend + privacy</x:v>
      </x:c>
      <x:c r="I78" s="22" t="str">
        <x:v>M012; M068; M091</x:v>
      </x:c>
      <x:c r="J78" s="22" t="str">
        <x:v>Unassigned</x:v>
      </x:c>
      <x:c r="K78" s="22" t="str">
        <x:v>Not evidenced by these deliveries</x:v>
      </x:c>
    </x:row>
    <x:row r="79" ht="110" customHeight="1">
      <x:c r="A79" s="22" t="str">
        <x:v>M074</x:v>
      </x:c>
      <x:c r="B79" s="22" t="str">
        <x:v>P1</x:v>
      </x:c>
      <x:c r="C79" s="22" t="str">
        <x:v>CI, migration and release evidence</x:v>
      </x:c>
      <x:c r="D79" s="22" t="str">
        <x:v>Prior source; acceptance open</x:v>
      </x:c>
      <x:c r="E79" s="22" t="str">
        <x:v>Repair Actions pin validation to permit local reusable workflows and reject unpinned remote actions</x:v>
      </x:c>
      <x:c r="F79" s="22" t="str">
        <x:v>No new completion claim. Earlier evidence retained: No new implementation or completion claim in Increment05.</x:v>
      </x:c>
      <x:c r="G79" s="22" t="str">
        <x:v>Actual source pin gate exits zero; valid local fixture passes and tagged/unpinned remote fixtures fail; parser distinguishes reusable workflow and remote action syntax.</x:v>
      </x:c>
      <x:c r="H79" s="22" t="str">
        <x:v>DevOps</x:v>
      </x:c>
      <x:c r="I79" s="22" t="str">
        <x:v>None</x:v>
      </x:c>
      <x:c r="J79" s="22" t="str">
        <x:v>Unassigned</x:v>
      </x:c>
      <x:c r="K79" s="22" t="str">
        <x:v>Not evidenced by these deliveries</x:v>
      </x:c>
    </x:row>
    <x:row r="80" ht="110" customHeight="1">
      <x:c r="A80" s="22" t="str">
        <x:v>M075</x:v>
      </x:c>
      <x:c r="B80" s="22" t="str">
        <x:v>P1</x:v>
      </x:c>
      <x:c r="C80" s="22" t="str">
        <x:v>CI, migration and release evidence</x:v>
      </x:c>
      <x:c r="D80" s="22" t="str">
        <x:v>Prior source; acceptance open</x:v>
      </x:c>
      <x:c r="E80" s="22" t="str">
        <x:v>Make skipped/unavailable required checks non-releasable and wire aggregate gates into promotion</x:v>
      </x:c>
      <x:c r="F80" s="22" t="str">
        <x:v>No new completion claim. Earlier evidence retained: No new implementation or completion claim in Increment05.</x:v>
      </x:c>
      <x:c r="G80" s="22" t="str">
        <x:v>Production invocation rejects disabling mandatory child checks; pass/failed/skipped/unavailable have distinct status; Android/PWA/services promotion requires all applicable gates for one exact artifact.</x:v>
      </x:c>
      <x:c r="H80" s="22" t="str">
        <x:v>Release engineer + DevOps</x:v>
      </x:c>
      <x:c r="I80" s="22" t="str">
        <x:v>M074</x:v>
      </x:c>
      <x:c r="J80" s="22" t="str">
        <x:v>Unassigned</x:v>
      </x:c>
      <x:c r="K80" s="22" t="str">
        <x:v>Not evidenced by these deliveries</x:v>
      </x:c>
    </x:row>
    <x:row r="81" ht="110" customHeight="1">
      <x:c r="A81" s="22" t="str">
        <x:v>M076</x:v>
      </x:c>
      <x:c r="B81" s="22" t="str">
        <x:v>P1</x:v>
      </x:c>
      <x:c r="C81" s="22" t="str">
        <x:v>CI, migration and release evidence</x:v>
      </x:c>
      <x:c r="D81" s="22" t="str">
        <x:v>Open; not advanced in Increment06</x:v>
      </x:c>
      <x:c r="E81" s="22" t="str">
        <x:v>Resolve unaccepted reference goldens against the approved design and rerun the full Flutter suite</x:v>
      </x:c>
      <x:c r="F81" s="22" t="str">
        <x:v>No new completion claim. Earlier evidence retained: No new implementation or completion claim in Increment05.</x:v>
      </x:c>
      <x:c r="G81" s="22" t="str">
        <x:v>Each difference classified as intended or regression; only reviewed baselines change; complete suite including reference goldens passes on pinned toolchain with revision-linked results.</x:v>
      </x:c>
      <x:c r="H81" s="22" t="str">
        <x:v>QA + design + Flutter</x:v>
      </x:c>
      <x:c r="I81" s="22" t="str">
        <x:v>M074</x:v>
      </x:c>
      <x:c r="J81" s="22" t="str">
        <x:v>Unassigned</x:v>
      </x:c>
      <x:c r="K81" s="22" t="str">
        <x:v>Not evidenced by these deliveries</x:v>
      </x:c>
    </x:row>
    <x:row r="82" ht="110" customHeight="1">
      <x:c r="A82" s="22" t="str">
        <x:v>M077</x:v>
      </x:c>
      <x:c r="B82" s="22" t="str">
        <x:v>P1</x:v>
      </x:c>
      <x:c r="C82" s="22" t="str">
        <x:v>CI, migration and release evidence</x:v>
      </x:c>
      <x:c r="D82" s="22" t="str">
        <x:v>Advanced in Increment06</x:v>
      </x:c>
      <x:c r="E82" s="22" t="str">
        <x:v>Add required checks for every shipped implementation and native collector</x:v>
      </x:c>
      <x:c r="F82" s="22" t="str">
        <x:v>New chat SQL component lane wired into existing CI with required approved PostgreSQL17 image digest; tooling/static checks wired; Dart suite updates supplied.</x:v>
      </x:c>
      <x:c r="G82" s="22" t="str">
        <x:v>Configure reviewed MOBIO_CHAT_POSTGRES_IMAGE digest; execute hosted database and Flutter lanes and protect the branch. Missing Docker/runtime/config must remain non-pass.</x:v>
      </x:c>
      <x:c r="H82" s="22" t="str">
        <x:v>DevOps + subsystem owners</x:v>
      </x:c>
      <x:c r="I82" s="22" t="str">
        <x:v>M074; M075</x:v>
      </x:c>
      <x:c r="J82" s="22" t="str">
        <x:v>Unassigned</x:v>
      </x:c>
      <x:c r="K82" s="22" t="str">
        <x:v>Not evidenced by these deliveries</x:v>
      </x:c>
    </x:row>
    <x:row r="83" ht="110" customHeight="1">
      <x:c r="A83" s="22" t="str">
        <x:v>M078</x:v>
      </x:c>
      <x:c r="B83" s="22" t="str">
        <x:v>P1</x:v>
      </x:c>
      <x:c r="C83" s="22" t="str">
        <x:v>CI, migration and release evidence</x:v>
      </x:c>
      <x:c r="D83" s="22" t="str">
        <x:v>Advanced in Increment06</x:v>
      </x:c>
      <x:c r="E83" s="22" t="str">
        <x:v>Run all migrations on clean PostgreSQL 17 and a representative forward-upgrade copy</x:v>
      </x:c>
      <x:c r="F83" s="22" t="str">
        <x:v>Forward SQL body10 appended with verified source hash and plan; isolated PostgreSQL17 chat runner and synthetic prerequisite fixture supplied. Docker/psql unavailable; SQL not executed.</x:v>
      </x:c>
      <x:c r="G83" s="22" t="str">
        <x:v>Rehearse original full migration chain plus bodies01–10 on clean and representative sanitized forward databases; run component and full-schema concurrency/trigger cases.</x:v>
      </x:c>
      <x:c r="H83" s="22" t="str">
        <x:v>DBA + backend QA</x:v>
      </x:c>
      <x:c r="I83" s="22" t="str">
        <x:v>M003; M015; M017; M018; M019</x:v>
      </x:c>
      <x:c r="J83" s="22" t="str">
        <x:v>Unassigned</x:v>
      </x:c>
      <x:c r="K83" s="22" t="str">
        <x:v>Not evidenced by these deliveries</x:v>
      </x:c>
    </x:row>
    <x:row r="84" ht="110" customHeight="1">
      <x:c r="A84" s="22" t="str">
        <x:v>M079</x:v>
      </x:c>
      <x:c r="B84" s="22" t="str">
        <x:v>P1</x:v>
      </x:c>
      <x:c r="C84" s="22" t="str">
        <x:v>CI, migration and release evidence</x:v>
      </x:c>
      <x:c r="D84" s="22" t="str">
        <x:v>Advanced in Increment06</x:v>
      </x:c>
      <x:c r="E84" s="22" t="str">
        <x:v>Run a real database/Edge authorization and transaction matrix after remediation</x:v>
      </x:c>
      <x:c r="F84" s="22" t="str">
        <x:v>Auth/member/Plus/block checks and adversarial grant/duplicate/cancel/read-watermark SQL cases authored. New input guards are executable locally; new SQL/Dart behavior remains untested.</x:v>
      </x:c>
      <x:c r="G84" s="22" t="str">
        <x:v>Execute actual Auth/PostgREST direct-write, cross-owner, revoked-session, concurrency and legacy-endpoint tests. Synthetic Auth/Plus fixtures do not establish deployed authorization.</x:v>
      </x:c>
      <x:c r="H84" s="22" t="str">
        <x:v>Security QA + backend</x:v>
      </x:c>
      <x:c r="I84" s="22" t="str">
        <x:v>M003; M004; M015; M016; M078</x:v>
      </x:c>
      <x:c r="J84" s="22" t="str">
        <x:v>Unassigned</x:v>
      </x:c>
      <x:c r="K84" s="22" t="str">
        <x:v>Not evidenced by these deliveries</x:v>
      </x:c>
    </x:row>
    <x:row r="85" ht="110" customHeight="1">
      <x:c r="A85" s="22" t="str">
        <x:v>M080</x:v>
      </x:c>
      <x:c r="B85" s="22" t="str">
        <x:v>P1</x:v>
      </x:c>
      <x:c r="C85" s="22" t="str">
        <x:v>Access and release containment</x:v>
      </x:c>
      <x:c r="D85" s="22" t="str">
        <x:v>Open; not advanced in Increment06</x:v>
      </x:c>
      <x:c r="E85" s="22" t="str">
        <x:v>Read back actual repository/environment protections, secrets and promotion roles</x:v>
      </x:c>
      <x:c r="F85" s="22" t="str">
        <x:v>No new completion claim. Earlier evidence retained: No new implementation or completion claim in Increment05.</x:v>
      </x:c>
      <x:c r="G85" s="22" t="str">
        <x:v>Current branch/environment rules, required checks, reviewer separation and secret scope recorded for actual repository/account plan; least-privilege deployment roles and emergency path tested without publishing.</x:v>
      </x:c>
      <x:c r="H85" s="22" t="str">
        <x:v>Security + release owner</x:v>
      </x:c>
      <x:c r="I85" s="22" t="str">
        <x:v>M001; M002; M075</x:v>
      </x:c>
      <x:c r="J85" s="22" t="str">
        <x:v>Unassigned</x:v>
      </x:c>
      <x:c r="K85" s="22" t="str">
        <x:v>Not evidenced by these deliveries</x:v>
      </x:c>
    </x:row>
    <x:row r="86" ht="110" customHeight="1">
      <x:c r="A86" s="22" t="str">
        <x:v>M081</x:v>
      </x:c>
      <x:c r="B86" s="22" t="str">
        <x:v>P1</x:v>
      </x:c>
      <x:c r="C86" s="22" t="str">
        <x:v>CI, migration and release evidence</x:v>
      </x:c>
      <x:c r="D86" s="22" t="str">
        <x:v>Prior source; acceptance open</x:v>
      </x:c>
      <x:c r="E86" s="22" t="str">
        <x:v>Bind source, artifacts, migrations, model policy and approvals in a structured release manifest</x:v>
      </x:c>
      <x:c r="F86" s="22" t="str">
        <x:v>No new completion claim. Earlier evidence retained: No new implementation or completion claim in Increment05.</x:v>
      </x:c>
      <x:c r="G86" s="22" t="str">
        <x:v>Exact commit plus working-tree state, artifact hashes, version equality, migration/model identifiers, environment, reviewer/date and full check receipts validated; stale/example/wrong-artifact/prefix fixtures rejected.</x:v>
      </x:c>
      <x:c r="H86" s="22" t="str">
        <x:v>Release engineer</x:v>
      </x:c>
      <x:c r="I86" s="22" t="str">
        <x:v>M075; M078; M080</x:v>
      </x:c>
      <x:c r="J86" s="22" t="str">
        <x:v>Unassigned</x:v>
      </x:c>
      <x:c r="K86" s="22" t="str">
        <x:v>Not evidenced by these deliveries</x:v>
      </x:c>
    </x:row>
    <x:row r="87" ht="110" customHeight="1">
      <x:c r="A87" s="22" t="str">
        <x:v>M082</x:v>
      </x:c>
      <x:c r="B87" s="22" t="str">
        <x:v>P2</x:v>
      </x:c>
      <x:c r="C87" s="22" t="str">
        <x:v>CI, migration and release evidence</x:v>
      </x:c>
      <x:c r="D87" s="22" t="str">
        <x:v>Prior source; acceptance open</x:v>
      </x:c>
      <x:c r="E87" s="22" t="str">
        <x:v>Pin reproducible toolchains and cover all dependency/container ecosystems with update and advisory review</x:v>
      </x:c>
      <x:c r="F87" s="22" t="str">
        <x:v>No new completion claim. Earlier evidence retained: No new implementation or completion claim in Increment05.</x:v>
      </x:c>
      <x:c r="G87" s="22" t="str">
        <x:v>Deno/Node/pnpm/Wrangler/container toolchain fixed to tested versions; update coverage and actual advisory triage documented; clean builds reproduce; upgrades are risk-reviewed rather than indiscriminate.</x:v>
      </x:c>
      <x:c r="H87" s="22" t="str">
        <x:v>DevSecOps + maintainers</x:v>
      </x:c>
      <x:c r="I87" s="22" t="str">
        <x:v>M077</x:v>
      </x:c>
      <x:c r="J87" s="22" t="str">
        <x:v>Unassigned</x:v>
      </x:c>
      <x:c r="K87" s="22" t="str">
        <x:v>Not evidenced by these deliveries</x:v>
      </x:c>
    </x:row>
    <x:row r="88" ht="110" customHeight="1">
      <x:c r="A88" s="22" t="str">
        <x:v>M083</x:v>
      </x:c>
      <x:c r="B88" s="22" t="str">
        <x:v>P2</x:v>
      </x:c>
      <x:c r="C88" s="22" t="str">
        <x:v>CI, migration and release evidence</x:v>
      </x:c>
      <x:c r="D88" s="22" t="str">
        <x:v>Open; not advanced in Increment06</x:v>
      </x:c>
      <x:c r="E88" s="22" t="str">
        <x:v>Produce verified SBOM/provenance and retain licences, symbols and source maps for supported releases</x:v>
      </x:c>
      <x:c r="F88" s="22" t="str">
        <x:v>No new completion claim. Earlier evidence retained: No new implementation or completion claim in Increment05.</x:v>
      </x:c>
      <x:c r="G88" s="22" t="str">
        <x:v>Distributed artifact SBOM and provenance verify against release hashes; model/SDK licences archived; symbol/source-map access and crash symbolication tested for supported versions.</x:v>
      </x:c>
      <x:c r="H88" s="22" t="str">
        <x:v>DevSecOps + release</x:v>
      </x:c>
      <x:c r="I88" s="22" t="str">
        <x:v>M081; M082</x:v>
      </x:c>
      <x:c r="J88" s="22" t="str">
        <x:v>Unassigned</x:v>
      </x:c>
      <x:c r="K88" s="22" t="str">
        <x:v>Not evidenced by these deliveries</x:v>
      </x:c>
    </x:row>
    <x:row r="89" ht="110" customHeight="1">
      <x:c r="A89" s="22" t="str">
        <x:v>M084</x:v>
      </x:c>
      <x:c r="B89" s="22" t="str">
        <x:v>P1</x:v>
      </x:c>
      <x:c r="C89" s="22" t="str">
        <x:v>Operations, recovery, rollout and economics</x:v>
      </x:c>
      <x:c r="D89" s="22" t="str">
        <x:v>Open; not advanced in Increment06</x:v>
      </x:c>
      <x:c r="E89" s="22" t="str">
        <x:v>Instrument privacy-safe service and client health with owned actionable alerts</x:v>
      </x:c>
      <x:c r="F89" s="22" t="str">
        <x:v>No new completion claim. Earlier evidence retained: No new implementation or completion claim in Increment05.</x:v>
      </x:c>
      <x:c r="G89" s="22" t="str">
        <x:v>Dashboards cover auth, latency/errors, face busy/cleanup, receipt-to-credit, notification backlog, crashes/ANRs and stale presence; named owners/budgets; induced failure alerts correctly with no raw faces, vectors, OTPs or financial identifiers.</x:v>
      </x:c>
      <x:c r="H89" s="22" t="str">
        <x:v>SRE + backend + mobile</x:v>
      </x:c>
      <x:c r="I89" s="22" t="str">
        <x:v>M032; M034; M037; M056</x:v>
      </x:c>
      <x:c r="J89" s="22" t="str">
        <x:v>Unassigned</x:v>
      </x:c>
      <x:c r="K89" s="22" t="str">
        <x:v>Not evidenced by these deliveries</x:v>
      </x:c>
    </x:row>
    <x:row r="90" ht="110" customHeight="1">
      <x:c r="A90" s="22" t="str">
        <x:v>M085</x:v>
      </x:c>
      <x:c r="B90" s="22" t="str">
        <x:v>P1</x:v>
      </x:c>
      <x:c r="C90" s="22" t="str">
        <x:v>Operations, recovery, rollout and economics</x:v>
      </x:c>
      <x:c r="D90" s="22" t="str">
        <x:v>Open; not advanced in Increment06</x:v>
      </x:c>
      <x:c r="E90" s="22" t="str">
        <x:v>Define RPO/RTO and rehearse isolated database, Storage, configuration and vector recovery</x:v>
      </x:c>
      <x:c r="F90" s="22" t="str">
        <x:v>No new completion claim. Earlier evidence retained: No new implementation or completion claim in Increment05.</x:v>
      </x:c>
      <x:c r="G90" s="22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H90" s="22" t="str">
        <x:v>DBA + SRE + privacy</x:v>
      </x:c>
      <x:c r="I90" s="22" t="str">
        <x:v>M065; M070; M078</x:v>
      </x:c>
      <x:c r="J90" s="22" t="str">
        <x:v>Unassigned</x:v>
      </x:c>
      <x:c r="K90" s="22" t="str">
        <x:v>Not evidenced by these deliveries</x:v>
      </x:c>
    </x:row>
    <x:row r="91" ht="110" customHeight="1">
      <x:c r="A91" s="22" t="str">
        <x:v>M086</x:v>
      </x:c>
      <x:c r="B91" s="22" t="str">
        <x:v>P1</x:v>
      </x:c>
      <x:c r="C91" s="22" t="str">
        <x:v>Operations, recovery, rollout and economics</x:v>
      </x:c>
      <x:c r="D91" s="22" t="str">
        <x:v>Open; not advanced in Increment06</x:v>
      </x:c>
      <x:c r="E91" s="22" t="str">
        <x:v>Rehearse security/privacy/financial incident ownership and escalation</x:v>
      </x:c>
      <x:c r="F91" s="22" t="str">
        <x:v>No new completion claim. Earlier evidence retained: No new implementation or completion claim in Increment05.</x:v>
      </x:c>
      <x:c r="G91" s="22" t="str">
        <x:v>Tabletop covers key exposure, wrong credit, lost collector and biometric/PII event; evidence preservation, containment and contacts tested; applicable Rwanda 48-hour notice/72-hour report clocks reviewed by counsel.</x:v>
      </x:c>
      <x:c r="H91" s="22" t="str">
        <x:v>Security + privacy + SRE + payments</x:v>
      </x:c>
      <x:c r="I91" s="22" t="str">
        <x:v>M001; M023; M066; M084</x:v>
      </x:c>
      <x:c r="J91" s="22" t="str">
        <x:v>Unassigned</x:v>
      </x:c>
      <x:c r="K91" s="22" t="str">
        <x:v>Not evidenced by these deliveries</x:v>
      </x:c>
    </x:row>
    <x:row r="92" ht="110" customHeight="1">
      <x:c r="A92" s="22" t="str">
        <x:v>M087</x:v>
      </x:c>
      <x:c r="B92" s="22" t="str">
        <x:v>P1</x:v>
      </x:c>
      <x:c r="C92" s="22" t="str">
        <x:v>Operations, recovery, rollout and economics</x:v>
      </x:c>
      <x:c r="D92" s="22" t="str">
        <x:v>Open; not advanced in Increment06</x:v>
      </x:c>
      <x:c r="E92" s="22" t="str">
        <x:v>Exercise staged release, kill switches and compatible rollback for each enabled surface</x:v>
      </x:c>
      <x:c r="F92" s="22" t="str">
        <x:v>No new completion claim. Earlier evidence retained: No new implementation or completion claim in Increment05.</x:v>
      </x:c>
      <x:c r="G92" s="22" t="str">
        <x:v>Internal/staged promotion uses defined stop criteria; last-known-good artifacts/configs identified; schema compatibility or forward repair tested; face can be disabled while accepted manual/QR flows continue.</x:v>
      </x:c>
      <x:c r="H92" s="22" t="str">
        <x:v>Release + SRE + product</x:v>
      </x:c>
      <x:c r="I92" s="22" t="str">
        <x:v>M062; M081; M084; M085</x:v>
      </x:c>
      <x:c r="J92" s="22" t="str">
        <x:v>Unassigned</x:v>
      </x:c>
      <x:c r="K92" s="22" t="str">
        <x:v>Not evidenced by these deliveries</x:v>
      </x:c>
    </x:row>
    <x:row r="93" ht="110" customHeight="1">
      <x:c r="A93" s="22" t="str">
        <x:v>M088</x:v>
      </x:c>
      <x:c r="B93" s="22" t="str">
        <x:v>P1</x:v>
      </x:c>
      <x:c r="C93" s="22" t="str">
        <x:v>Operations, recovery, rollout and economics</x:v>
      </x:c>
      <x:c r="D93" s="22" t="str">
        <x:v>Open; not advanced in Increment06</x:v>
      </x:c>
      <x:c r="E93" s="22" t="str">
        <x:v>Run a version-bound end-to-end matrix on staging and release-candidate devices</x:v>
      </x:c>
      <x:c r="F93" s="22" t="str">
        <x:v>No new completion claim. Earlier evidence retained: No new implementation or completion claim in Increment05.</x:v>
      </x:c>
      <x:c r="G93" s="22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H93" s="22" t="str">
        <x:v>QA lead + release + feature owners</x:v>
      </x:c>
      <x:c r="I93" s="22" t="str">
        <x:v>M044; M046; M049; M052; M060; M073; M079; M081; M040 if Face enabled</x:v>
      </x:c>
      <x:c r="J93" s="22" t="str">
        <x:v>Unassigned</x:v>
      </x:c>
      <x:c r="K93" s="22" t="str">
        <x:v>Not evidenced by these deliveries</x:v>
      </x:c>
    </x:row>
    <x:row r="94" ht="110" customHeight="1">
      <x:c r="A94" s="22" t="str">
        <x:v>M089</x:v>
      </x:c>
      <x:c r="B94" s="22" t="str">
        <x:v>P1</x:v>
      </x:c>
      <x:c r="C94" s="22" t="str">
        <x:v>Operations, recovery, rollout and economics</x:v>
      </x:c>
      <x:c r="D94" s="22" t="str">
        <x:v>Open; not advanced in Increment06</x:v>
      </x:c>
      <x:c r="E94" s="22" t="str">
        <x:v>Operationalize existing report/block controls, account recovery and financial exception handling</x:v>
      </x:c>
      <x:c r="F94" s="22" t="str">
        <x:v>No new completion claim. Earlier evidence retained: No new implementation or completion claim in Increment05.</x:v>
      </x:c>
      <x:c r="G94" s="22" t="str">
        <x:v>Named queues/response targets and escalation paths; staged report/block/unblock, lost WhatsApp access, deletion and disputed receipt drills close with an audit trail; no PIN collection or improvised auth bypass.</x:v>
      </x:c>
      <x:c r="H94" s="22" t="str">
        <x:v>Support operations + product + trust/safety</x:v>
      </x:c>
      <x:c r="I94" s="22" t="str">
        <x:v>M009; M023; M069; M073; M084</x:v>
      </x:c>
      <x:c r="J94" s="22" t="str">
        <x:v>Unassigned</x:v>
      </x:c>
      <x:c r="K94" s="22" t="str">
        <x:v>Not evidenced by these deliveries</x:v>
      </x:c>
    </x:row>
    <x:row r="95" ht="110" customHeight="1">
      <x:c r="A95" s="22" t="str">
        <x:v>M090</x:v>
      </x:c>
      <x:c r="B95" s="22" t="str">
        <x:v>P2</x:v>
      </x:c>
      <x:c r="C95" s="22" t="str">
        <x:v>Operations, recovery, rollout and economics</x:v>
      </x:c>
      <x:c r="D95" s="22" t="str">
        <x:v>Advanced in Increment06</x:v>
      </x:c>
      <x:c r="E95" s="22" t="str">
        <x:v>Publish a clean reproducible source manifest and one current feature/release status map</x:v>
      </x:c>
      <x:c r="F95" s="22" t="str">
        <x:v>New exact delta/cumulative source overlays, guarded applier, Git patch, task register and current evidence packaged against prior Increment05 plus verified dependencies.</x:v>
      </x:c>
      <x:c r="G95" s="22" t="str">
        <x:v>Reconcile with complete canonical upstream checkout/commit; resolve source-folder sharing and signing exposure, then bind source and new checks to the actual release manifest.</x:v>
      </x:c>
      <x:c r="H95" s="22" t="str">
        <x:v>Repository maintainer + product + release</x:v>
      </x:c>
      <x:c r="I95" s="22" t="str">
        <x:v>M001; M081</x:v>
      </x:c>
      <x:c r="J95" s="22" t="str">
        <x:v>Unassigned</x:v>
      </x:c>
      <x:c r="K95" s="22" t="str">
        <x:v>Not evidenced by these deliveries</x:v>
      </x:c>
    </x:row>
    <x:row r="96" ht="110" customHeight="1">
      <x:c r="A96" s="22" t="str">
        <x:v>M091</x:v>
      </x:c>
      <x:c r="B96" s="22" t="str">
        <x:v>P1</x:v>
      </x:c>
      <x:c r="C96" s="22" t="str">
        <x:v>Operations, recovery, rollout and economics</x:v>
      </x:c>
      <x:c r="D96" s="22" t="str">
        <x:v>Prior source; acceptance open</x:v>
      </x:c>
      <x:c r="E96" s="22" t="str">
        <x:v>Bound external calls and enforce durable rate/cost controls for OTP, maps and AI paths</x:v>
      </x:c>
      <x:c r="F96" s="22" t="str">
        <x:v>No new completion claim. Earlier evidence retained: Admin Auth enumeration removed and per-request calls bounded; new wallet/startup waits bounded.</x:v>
      </x:c>
      <x:c r="G96" s="22" t="str">
        <x:v>Global provider quotas, overall end-to-end budgets, overload recovery, cost/latency measurements and other endpoints remain open.</x:v>
      </x:c>
      <x:c r="H96" s="22" t="str">
        <x:v>Backend + SRE + security</x:v>
      </x:c>
      <x:c r="I96" s="22" t="str">
        <x:v>M012; M032</x:v>
      </x:c>
      <x:c r="J96" s="22" t="str">
        <x:v>Unassigned</x:v>
      </x:c>
      <x:c r="K96" s="22" t="str">
        <x:v>Not evidenced by these deliveries</x:v>
      </x:c>
    </x:row>
    <x:row r="97" ht="110" customHeight="1">
      <x:c r="A97" s="22" t="str">
        <x:v>M092</x:v>
      </x:c>
      <x:c r="B97" s="22" t="str">
        <x:v>P2</x:v>
      </x:c>
      <x:c r="C97" s="22" t="str">
        <x:v>Operations, recovery, rollout and economics</x:v>
      </x:c>
      <x:c r="D97" s="22" t="str">
        <x:v>Open; not advanced in Increment06</x:v>
      </x:c>
      <x:c r="E97" s="22" t="str">
        <x:v>Use a durable notification outbox with leases, bounded retry and token lifecycle</x:v>
      </x:c>
      <x:c r="F97" s="22" t="str">
        <x:v>No new completion claim. Earlier evidence retained: No new implementation or completion claim in Increment05.</x:v>
      </x:c>
      <x:c r="G97" s="22" t="str">
        <x:v>Notification/token idempotency, lease recovery, TTL, consent, backoff and invalid-token removal work under duplicate dispatch/provider outage; backlog age is visible; no unbounded OAuth/send loop.</x:v>
      </x:c>
      <x:c r="H97" s="22" t="str">
        <x:v>Backend + SRE</x:v>
      </x:c>
      <x:c r="I97" s="22" t="str">
        <x:v>M008; M084</x:v>
      </x:c>
      <x:c r="J97" s="22" t="str">
        <x:v>Unassigned</x:v>
      </x:c>
      <x:c r="K97" s="22" t="str">
        <x:v>Not evidenced by these deliveries</x:v>
      </x:c>
    </x:row>
    <x:row r="98" ht="110" customHeight="1">
      <x:c r="A98" s="22" t="str">
        <x:v>M093</x:v>
      </x:c>
      <x:c r="B98" s="22" t="str">
        <x:v>P2</x:v>
      </x:c>
      <x:c r="C98" s="22" t="str">
        <x:v>Operations, recovery, rollout and economics</x:v>
      </x:c>
      <x:c r="D98" s="22" t="str">
        <x:v>Open; not advanced in Increment06</x:v>
      </x:c>
      <x:c r="E98" s="22" t="str">
        <x:v>Load-test bounded discovery, realtime, chat history and financial queries at launch/next-stage volume</x:v>
      </x:c>
      <x:c r="F98" s="22" t="str">
        <x:v>No new completion claim. Earlier evidence retained: No new implementation or completion claim in Increment05.</x:v>
      </x:c>
      <x:c r="G98" s="22" t="str">
        <x:v>Representative cardinalities and concurrency with EXPLAIN/query statistics meet chosen latency budget; indexes/caps/pagination based on measured plans; retention does not break reconciliation or deletion.</x:v>
      </x:c>
      <x:c r="H98" s="22" t="str">
        <x:v>DBA + performance + backend</x:v>
      </x:c>
      <x:c r="I98" s="22" t="str">
        <x:v>M056; M078; M084</x:v>
      </x:c>
      <x:c r="J98" s="22" t="str">
        <x:v>Unassigned</x:v>
      </x:c>
      <x:c r="K98" s="22" t="str">
        <x:v>Not evidenced by these deliveries</x:v>
      </x:c>
    </x:row>
    <x:row r="99" ht="110" customHeight="1">
      <x:c r="A99" s="22" t="str">
        <x:v>M094</x:v>
      </x:c>
      <x:c r="B99" s="22" t="str">
        <x:v>P2</x:v>
      </x:c>
      <x:c r="C99" s="22" t="str">
        <x:v>Operations, recovery, rollout and economics</x:v>
      </x:c>
      <x:c r="D99" s="22" t="str">
        <x:v>Open; not advanced in Increment06</x:v>
      </x:c>
      <x:c r="E99" s="22" t="str">
        <x:v>Build an observed launch cost model and usage budget with explicit assumptions</x:v>
      </x:c>
      <x:c r="F99" s="22" t="str">
        <x:v>No new completion claim. Earlier evidence retained: No new implementation or completion claim in Increment05.</x:v>
      </x:c>
      <x:c r="G99" s="22" t="str">
        <x:v>Current account tariffs and observed requests per successful journey drive low/base/peak forecast; budget alerts and owner-approved service caps tested; no invented Rwanda rate or fixed per-scan promise.</x:v>
      </x:c>
      <x:c r="H99" s="22" t="str">
        <x:v>Product + finance + SRE</x:v>
      </x:c>
      <x:c r="I99" s="22" t="str">
        <x:v>M023; M041; M084; M091</x:v>
      </x:c>
      <x:c r="J99" s="22" t="str">
        <x:v>Unassigned</x:v>
      </x:c>
      <x:c r="K99" s="22" t="str">
        <x:v>Not evidenced by these deliveries</x:v>
      </x:c>
    </x:row>
    <x:row r="100" ht="110" customHeight="1">
      <x:c r="A100" s="22" t="str">
        <x:v>M095</x:v>
      </x:c>
      <x:c r="B100" s="22" t="str">
        <x:v>P3</x:v>
      </x:c>
      <x:c r="C100" s="22" t="str">
        <x:v>Operations, recovery, rollout and economics</x:v>
      </x:c>
      <x:c r="D100" s="22" t="str">
        <x:v>Open; not advanced in Increment06</x:v>
      </x:c>
      <x:c r="E100" s="22" t="str">
        <x:v>Optimize inference pool/index checks only after accepted baseline capacity data</x:v>
      </x:c>
      <x:c r="F100" s="22" t="str">
        <x:v>No new completion claim. Earlier evidence retained: No new implementation or completion claim in Increment05.</x:v>
      </x:c>
      <x:c r="G100" s="22" t="str">
        <x:v>Measured bottleneck and benefit threshold documented; bounded pool or compatibility-cache change preserves model/consent correctness and cost cap; before/after load and failure results demonstrate improvement.</x:v>
      </x:c>
      <x:c r="H100" s="22" t="str">
        <x:v>Performance + platform</x:v>
      </x:c>
      <x:c r="I100" s="22" t="str">
        <x:v>M038; M041; M084; M094</x:v>
      </x:c>
      <x:c r="J100" s="22" t="str">
        <x:v>Unassigned</x:v>
      </x:c>
      <x:c r="K100" s="22" t="str">
        <x:v>Not evidenced by these deliveries</x:v>
      </x:c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</x:sheetData>
  <x:mergeCells>
    <x:mergeCell ref="A1:K1"/>
    <x:mergeCell ref="A3:K3"/>
  </x:mergeCells>
  <x:conditionalFormatting sqref="B6:B100">
    <x:cfRule type="expression" dxfId="1" priority="2">
      <x:formula>B6="P0"</x:formula>
    </x:cfRule>
  </x:conditionalFormatting>
  <x:conditionalFormatting sqref="D6:D100">
    <x:cfRule type="expression" dxfId="4" priority="3">
      <x:formula>$D6="Advanced in Increment06"</x:formula>
    </x:cfRule>
    <x:cfRule type="expression" dxfId="5" priority="4">
      <x:formula>$D6="Prior source; acceptance open"</x:formula>
    </x:cfRule>
    <x:cfRule type="expression" dxfId="6" priority="5">
      <x:formula>$D6="Open; not advanced in Increment06"</x:formula>
    </x:cfRule>
  </x:conditionalFormatting>
  <x:dataValidations count="3">
    <x:dataValidation type="list" sqref="B6:B100">
      <x:formula1>"P0,P1,P2,P3"</x:formula1>
    </x:dataValidation>
    <x:dataValidation type="list" sqref="K6:K100">
      <x:formula1>"Not evidenced,Accepted with linked evidence"</x:formula1>
    </x:dataValidation>
    <x:dataValidation type="list" sqref="D6:D100">
      <x:formula1>"Open; not advanced in Increment06,Prior source; acceptance open,Advanced in Increment06"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13d7238a6748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</x:cols>
  <x:sheetData>
    <x:row r="1" ht="32" customHeight="1">
      <x:c r="A1" s="6" t="str">
        <x:v>MOBIO | Original criteria and evidence</x:v>
      </x:c>
      <x:c r="B1" s="6"/>
      <x:c r="C1" s="6"/>
      <x:c r="D1" s="6"/>
      <x:c r="E1" s="6"/>
      <x:c r="F1" s="6"/>
      <x:c r="G1" s="6"/>
      <x:c r="H1" s="6"/>
    </x:row>
    <x:row r="2">
      <x:c r="A2" s="2"/>
      <x:c r="B2" s="2"/>
      <x:c r="C2" s="2"/>
      <x:c r="D2" s="2"/>
      <x:c r="E2" s="2"/>
      <x:c r="F2" s="2"/>
      <x:c r="G2" s="2"/>
      <x:c r="H2" s="2"/>
    </x:row>
    <x:row r="3" ht="36" customHeight="1">
      <x:c r="A3" s="11" t="str">
        <x:v>Original requirements are retained, including historical wording. Applicable laws, operator terms and store requirements must be reverified before release.</x:v>
      </x:c>
      <x:c r="B3" s="11"/>
      <x:c r="C3" s="11"/>
      <x:c r="D3" s="11"/>
      <x:c r="E3" s="11"/>
      <x:c r="F3" s="11"/>
      <x:c r="G3" s="11"/>
      <x:c r="H3" s="11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7" t="str">
        <x:v>ID</x:v>
      </x:c>
      <x:c r="B5" s="17" t="str">
        <x:v>Release scope</x:v>
      </x:c>
      <x:c r="C5" s="17" t="str">
        <x:v>Area</x:v>
      </x:c>
      <x:c r="D5" s="17" t="str">
        <x:v>Original acceptance criteria</x:v>
      </x:c>
      <x:c r="E5" s="17" t="str">
        <x:v>Earlier source evidence</x:v>
      </x:c>
      <x:c r="F5" s="17" t="str">
        <x:v>Increment04 evidence</x:v>
      </x:c>
      <x:c r="G5" s="17" t="str">
        <x:v>Backlog source URL</x:v>
      </x:c>
      <x:c r="H5" s="17" t="str">
        <x:v>Original source / audit evidence</x:v>
      </x:c>
    </x:row>
    <x:row r="6" ht="174" customHeight="1">
      <x:c r="A6" s="22" t="str">
        <x:v>M001</x:v>
      </x:c>
      <x:c r="B6" s="22" t="str">
        <x:v>Core</x:v>
      </x:c>
      <x:c r="C6" s="22" t="str">
        <x:v>Source access</x:v>
      </x:c>
      <x:c r="D6" s="22" t="str">
        <x:v>Named access replaces anyone-writer; inherited/child permissions and link access are verified; preserve activity evidence and an incident decision without asserting outsider use.</x:v>
      </x:c>
      <x:c r="E6" s="22" t="str">
        <x:v>No completion claimed by these increments. Original audit acceptance criteria remain applicable.</x:v>
      </x:c>
      <x:c r="F6" s="22" t="str">
        <x:v>No new completion claim in this increment.</x:v>
      </x:c>
      <x:c r="G6" s="22" t="str">
        <x:v>https://drive.google.com/file/d/15X3_uSbHztLL57IL_d3Xo9hc9zInJuyN/view</x:v>
      </x:c>
      <x:c r="H6" s="22" t="str">
        <x:v>Drive root metadata reviewed 2026-09-27; https://drive.google.com/drive/folders/120JIOTyeNX6nHaHPDqS3UgbaTWyJAE57; audit/platform_review.md PL-01</x:v>
      </x:c>
    </x:row>
    <x:row r="7" ht="174" customHeight="1">
      <x:c r="A7" s="22" t="str">
        <x:v>M002</x:v>
      </x:c>
      <x:c r="B7" s="22" t="str">
        <x:v>Core</x:v>
      </x:c>
      <x:c r="C7" s="22" t="str">
        <x:v>Signing and secrets</x:v>
      </x:c>
      <x:c r="D7" s="22" t="str">
        <x:v>Identify owner, purpose, exposure window and actual upload/app-signing role; reset upload keys or revoke credentials as warranted; prove a trusted signed update path and remove exposed copies under retention policy.</x:v>
      </x:c>
      <x:c r="E7" s="22" t="str">
        <x:v>No completion claimed by these increments. Original audit acceptance criteria remain applicable.</x:v>
      </x:c>
      <x:c r="F7" s="22" t="str">
        <x:v>No new completion claim in this increment.</x:v>
      </x:c>
      <x:c r="G7" s="22" t="str">
        <x:v>https://drive.google.com/file/d/15X3_uSbHztLL57IL_d3Xo9hc9zInJuyN/view</x:v>
      </x:c>
      <x:c r="H7" s="22" t="str">
        <x:v>android/key.properties; android/mobi-upload.jks; android/app/upload-keystore.jks; audit/git_index_inventory.json; https://support.google.com/googleplay/android-developer/answer/9842756?hl=en
Original source: https://drive.google.com/file/d/1eV0tMds3GICIBCp0yGnF-GDre8fAckk2/view?usp=drivesdk
https://drive.google.com/file/d/1Hc8W34L5NqaydBHLhTJN9MXwuk4dwEtJ/view?usp=drivesdk</x:v>
      </x:c>
    </x:row>
    <x:row r="8" ht="174" customHeight="1">
      <x:c r="A8" s="22" t="str">
        <x:v>M003</x:v>
      </x:c>
      <x:c r="B8" s="22" t="str">
        <x:v>Core</x:v>
      </x:c>
      <x:c r="C8" s="22" t="str">
        <x:v>Identity authority</x:v>
      </x:c>
      <x:c r="D8" s="22" t="str">
        <x:v>Separate editable contact data from verified login authority; migrate duplicate aliases; verification cannot select or reassign another account; negative fixtures plus real Auth collision behavior pass. Phone-based BioPay discovery also resolves only the canonical verified recipient authority, never an editable contact alias.</x:v>
      </x:c>
      <x:c r="E8" s="22" t="str">
        <x:v>Auth-owned verified phone identity implemented locally; handler fixtures pass; live Auth collision/race and deployed RPC not tested.</x:v>
      </x:c>
      <x:c r="F8" s="22" t="str">
        <x:v>No new completion claim in this increment.</x:v>
      </x:c>
      <x:c r="G8" s="22" t="str">
        <x:v>https://drive.google.com/file/d/15X3_uSbHztLL57IL_d3Xo9hc9zInJuyN/view</x:v>
      </x:c>
      <x:c r="H8" s="22" t="str">
        <x:v>supabase/functions/verify-login-otp/index.ts:80-229; supabase/migrations/20260614153000_rentals_vehicle_type_onboarding.sql:193-243; audit/validation_review.md IV-01; supabase/migrations/20260908090000_biopay_payment_discovery.sql:239-245
Original source: https://drive.google.com/file/d/1rLnSrgP58oGUWfhbZqV18wBkV-xUvuGO/view?usp=drivesdk
https://drive.google.com/file/d/1rgP7K6iACtSIV9YJI6_7tmzawe63L1r6/view?usp=drivesdk
https://drive.google.com/file/d/1VzfemejMhTryu0KVQFVpt8lxcSH57O4N/view?usp=drivesdk</x:v>
      </x:c>
    </x:row>
    <x:row r="9" ht="174" customHeight="1">
      <x:c r="A9" s="22" t="str">
        <x:v>M004</x:v>
      </x:c>
      <x:c r="B9" s="22" t="str">
        <x:v>Core</x:v>
      </x:c>
      <x:c r="C9" s="22" t="str">
        <x:v>Authorization</x:v>
      </x:c>
      <x:c r="D9" s="22" t="str">
        <x:v>Publish effective role/table/column/function matrix; default-deny sensitive updates and security-definer execution; ordinary sessions cannot mutate verified aliases, creation order, member ID or admin authority. Test fn_biopay_discover against attempted editable-phone impersonation.</x:v>
      </x:c>
      <x:c r="E9" s="22" t="str">
        <x:v>Identity/member-id authority guard candidate prepared; database grants/RLS effective state not executed.</x:v>
      </x:c>
      <x:c r="F9" s="22" t="str">
        <x:v>No new completion claim in this increment.</x:v>
      </x:c>
      <x:c r="G9" s="22" t="str">
        <x:v>https://drive.google.com/file/d/15X3_uSbHztLL57IL_d3Xo9hc9zInJuyN/view</x:v>
      </x:c>
      <x:c r="H9" s="22" t="str">
        <x:v>supabase/migrations/20260501080000_backend_security_payment_rls_hardening.sql; supabase/migrations/20260501110000_security_profile_chat_dashboard_hardening.sql; audit/backend_review.md B-02; supabase/migrations/20260908090000_biopay_payment_discovery.sql:239-245
Original source: https://drive.google.com/file/d/1iPUAzOiUANdBMpfbyHZgffrhTR3njUz1/view?usp=drivesdk
https://drive.google.com/file/d/1h4svjoUNZVOu5_kZOWH3XMtGKfnOqP2l/view?usp=drivesdk
https://drive.google.com/file/d/1rgP7K6iACtSIV9YJI6_7tmzawe63L1r6/view?usp=drivesdk</x:v>
      </x:c>
    </x:row>
    <x:row r="10" ht="174" customHeight="1">
      <x:c r="A10" s="22" t="str">
        <x:v>M005</x:v>
      </x:c>
      <x:c r="B10" s="22" t="str">
        <x:v>Core</x:v>
      </x:c>
      <x:c r="C10" s="22" t="str">
        <x:v>Member identity</x:v>
      </x:c>
      <x:c r="D10" s="22" t="str">
        <x:v>Duplicate inventory reviewed; controlled remediation preserves account UUIDs and references; unique constraint plus concurrent allocation tests pass; ambiguous recipient lookup fails safely.</x:v>
      </x:c>
      <x:c r="E10" s="22" t="str">
        <x:v>Canonical unique six-digit member-ID forward body + assertions implemented; database reconciliation not executed.</x:v>
      </x:c>
      <x:c r="F10" s="22" t="str">
        <x:v>No new completion claim in this increment.</x:v>
      </x:c>
      <x:c r="G10" s="22" t="str">
        <x:v>https://drive.google.com/file/d/15X3_uSbHztLL57IL_d3Xo9hc9zInJuyN/view</x:v>
      </x:c>
      <x:c r="H10" s="22" t="str">
        <x:v>supabase/migrations/20260324175000_comprehensive_rpcs.sql:40-72; audit/flutter_review.md FL-01; audit/backend_review.md
Original source: https://drive.google.com/file/d/13yI6aGP0ZoPmYKSFL-PiftK-FD0VkBO-/view?usp=drivesdk</x:v>
      </x:c>
    </x:row>
    <x:row r="11" ht="174" customHeight="1">
      <x:c r="A11" s="22" t="str">
        <x:v>M006</x:v>
      </x:c>
      <x:c r="B11" s="22" t="str">
        <x:v>Core</x:v>
      </x:c>
      <x:c r="C11" s="22" t="str">
        <x:v>Member identity</x:v>
      </x:c>
      <x:c r="D11" s="22" t="str">
        <x:v>One fixture displays one server-issued six-digit ID in profile, nearby, trip, chat and wallet; no fabricated fallback; wrong/missing/ambiguous recipient regression cases pass.</x:v>
      </x:c>
      <x:c r="E11" s="22" t="str">
        <x:v>Production UUID/hash member-ID fallbacks removed; source-contract tests pass; Flutter runtime/goldens not run.</x:v>
      </x:c>
      <x:c r="F11" s="22" t="str">
        <x:v>No new completion claim in this increment.</x:v>
      </x:c>
      <x:c r="G11" s="22" t="str">
        <x:v>https://drive.google.com/file/d/15X3_uSbHztLL57IL_d3Xo9hc9zInJuyN/view</x:v>
      </x:c>
      <x:c r="H11" s="22" t="str">
        <x:v>lib/shared/widgets/driver_card.dart; lib/features/profile/presentation/profile_screen.dart; lib/features/bookings/presentation/bookings_screen.dart; audit/flutter_review.md FL-01, FL-08
Original source: https://drive.google.com/file/d/133jijD3OWgkiq8kvYppJsiGdn427lgiK/view?usp=drivesdk
https://drive.google.com/file/d/18urTvEQkxOoO54RdPEqF3hG6P_FLgWYX/view?usp=drivesdk</x:v>
      </x:c>
    </x:row>
    <x:row r="12" ht="174" customHeight="1">
      <x:c r="A12" s="22" t="str">
        <x:v>M007</x:v>
      </x:c>
      <x:c r="B12" s="22" t="str">
        <x:v>Core</x:v>
      </x:c>
      <x:c r="C12" s="22" t="str">
        <x:v>Account lifecycle</x:v>
      </x:c>
      <x:c r="D12" s="22" t="str">
        <x:v>Offline exit clears local credentials, account state, drafts/listeners and camera/NFC/location activity; cleanup failures cannot restore access; account A data never appears after B signs in.</x:v>
      </x:c>
      <x:c r="E12" s="22" t="str">
        <x:v>Ordinary sign-out and finally-safe cleanup implemented; account-switch/device tests not run.</x:v>
      </x:c>
      <x:c r="F12" s="22" t="str">
        <x:v>No new completion claim in this increment.</x:v>
      </x:c>
      <x:c r="G12" s="22" t="str">
        <x:v>https://drive.google.com/file/d/15X3_uSbHztLL57IL_d3Xo9hc9zInJuyN/view</x:v>
      </x:c>
      <x:c r="H12" s="22" t="str">
        <x:v>lib/app/router/screen_wrappers.dart:120-130; lib/core/auth/supabase_session_service.dart:61-81; audit/flutter_review.md FL-02
Original source: https://drive.google.com/file/d/1q4klsIHCcBSAx3BdaRdwzqNC3X2zD7jq/view?usp=drivesdk
https://drive.google.com/file/d/1yXHyXe8vVhu5ITKzP5IYgndcRKLU0V5O/view?usp=drivesdk</x:v>
      </x:c>
    </x:row>
    <x:row r="13" ht="174" customHeight="1">
      <x:c r="A13" s="22" t="str">
        <x:v>M008</x:v>
      </x:c>
      <x:c r="B13" s="22" t="str">
        <x:v>Core</x:v>
      </x:c>
      <x:c r="C13" s="22" t="str">
        <x:v>Push identity</x:v>
      </x:c>
      <x:c r="D13" s="22" t="str">
        <x:v>Two-account device test receives only current-owner messages; captured identity is rechecked around token retrieval/upsert; anonymous registration rejected; stale-token expiry and revocation verified.</x:v>
      </x:c>
      <x:c r="E13" s="22" t="str">
        <x:v>FCM registration/unregister now owner-bound; real two-account push test not run.</x:v>
      </x:c>
      <x:c r="F13" s="22" t="str">
        <x:v>No new completion claim in this increment.</x:v>
      </x:c>
      <x:c r="G13" s="22" t="str">
        <x:v>https://drive.google.com/file/d/15X3_uSbHztLL57IL_d3Xo9hc9zInJuyN/view</x:v>
      </x:c>
      <x:c r="H13" s="22" t="str">
        <x:v>lib/app/shell.dart; lib/features/notifications/data/push_notification_service.dart:343-418; audit/flutter_review.md FL-03
Original source: https://drive.google.com/file/d/1g_9q58Z-2302LqjJteF3pqrzqIRnUCUA/view?usp=drivesdk
https://drive.google.com/file/d/1pMxjMX11Yc0j6Gmpp5TvuMC7eVce0itE/view?usp=drivesdk</x:v>
      </x:c>
    </x:row>
    <x:row r="14" ht="174" customHeight="1">
      <x:c r="A14" s="22" t="str">
        <x:v>M009</x:v>
      </x:c>
      <x:c r="B14" s="22" t="str">
        <x:v>Core</x:v>
      </x:c>
      <x:c r="C14" s="22" t="str">
        <x:v>Admin security</x:v>
      </x:c>
      <x:c r="D14" s="22" t="str">
        <x:v>Retained timeout requirements are enforced server-side and reflected in UI; idle/background/resume/refresh/role-revocation tests pass; high-impact operations require the agreed admin purpose.</x:v>
      </x:c>
      <x:c r="E14" s="22" t="str">
        <x:v>No completion claimed by these increments. Original audit acceptance criteria remain applicable.</x:v>
      </x:c>
      <x:c r="F14" s="22" t="str">
        <x:v>No new completion claim in this increment.</x:v>
      </x:c>
      <x:c r="G14" s="22" t="str">
        <x:v>https://drive.google.com/file/d/15X3_uSbHztLL57IL_d3Xo9hc9zInJuyN/view</x:v>
      </x:c>
      <x:c r="H14" s="22" t="str">
        <x:v>lib/core/auth/admin_session_guard.dart; lib/app/router/app_router.dart; audit/flutter_review.md FL-04; audit/backend_review.md
Original source: https://drive.google.com/file/d/1X7sWfPgFxAKSm-EZLwKq7SmuvRQHnOlH/view?usp=drivesdk
https://drive.google.com/file/d/10iUOdZWSzYH51vT01fjN0BBQsTULtV9D/view?usp=drivesdk</x:v>
      </x:c>
    </x:row>
    <x:row r="15" ht="174" customHeight="1">
      <x:c r="A15" s="22" t="str">
        <x:v>M010</x:v>
      </x:c>
      <x:c r="B15" s="22" t="str">
        <x:v>Core</x:v>
      </x:c>
      <x:c r="C15" s="22" t="str">
        <x:v>Credential storage</x:v>
      </x:c>
      <x:c r="D15" s="22" t="str">
        <x:v>At-rest/backup inspection and migration, restart, sign-out, reinstall and revocation tests pass on Android/iOS; recovery behavior is documented; browser storage is addressed separately.</x:v>
      </x:c>
      <x:c r="E15" s="22" t="str">
        <x:v>No completion claimed by these increments. Original audit acceptance criteria remain applicable.</x:v>
      </x:c>
      <x:c r="F15" s="22" t="str">
        <x:v>No new completion claim in this increment.</x:v>
      </x:c>
      <x:c r="G15" s="22" t="str">
        <x:v>https://drive.google.com/file/d/15X3_uSbHztLL57IL_d3Xo9hc9zInJuyN/view</x:v>
      </x:c>
      <x:c r="H15" s="22" t="str">
        <x:v>lib/app/bootstrap.dart:79-82; audit/flutter_review.md FL-10; https://pub.dev/packages/supabase_flutter
Original source: https://drive.google.com/file/d/16rAbretfd1HwG3q_qLdo6WHrvbIB061u/view?usp=drivesdk
https://drive.google.com/drive/folders/1VeEGNOl32YcDgwjU7FZhqwcj_7Vyqy6c</x:v>
      </x:c>
    </x:row>
    <x:row r="16" ht="174" customHeight="1">
      <x:c r="A16" s="22" t="str">
        <x:v>M011</x:v>
      </x:c>
      <x:c r="B16" s="22" t="str">
        <x:v>Core</x:v>
      </x:c>
      <x:c r="C16" s="22" t="str">
        <x:v>Review access</x:v>
      </x:c>
      <x:c r="D16" s="22" t="str">
        <x:v>Review account has approved minimal access and no real-user financial/biometric records; rate cap, audit monitoring and rotation procedure work; live OTP-claim semantics remain enforced.</x:v>
      </x:c>
      <x:c r="E16" s="22" t="str">
        <x:v>No completion claimed by these increments. Original audit acceptance criteria remain applicable.</x:v>
      </x:c>
      <x:c r="F16" s="22" t="str">
        <x:v>No new completion claim in this increment.</x:v>
      </x:c>
      <x:c r="G16" s="22" t="str">
        <x:v>https://drive.google.com/file/d/15X3_uSbHztLL57IL_d3Xo9hc9zInJuyN/view</x:v>
      </x:c>
      <x:c r="H16" s="22" t="str">
        <x:v>supabase/functions/_shared/play-review-login.ts; supabase/functions/send-login-otp/index.ts; audit/backend_review.md B-11
Original source: https://drive.google.com/file/d/1GNs7SS0ZnkVMp96ZipCG6lOqW77dNTcK/view?usp=drivesdk
https://drive.google.com/file/d/14OGjfqPCwD8YXGL1_8RJVacWZZLazQZ1/view?usp=drivesdk</x:v>
      </x:c>
    </x:row>
    <x:row r="17" ht="174" customHeight="1">
      <x:c r="A17" s="22" t="str">
        <x:v>M012</x:v>
      </x:c>
      <x:c r="B17" s="22" t="str">
        <x:v>Core</x:v>
      </x:c>
      <x:c r="C17" s="22" t="str">
        <x:v>OTP production config</x:v>
      </x:c>
      <x:c r="D17" s="22" t="str">
        <x:v>Deployment gate rejects WHATSAPP_CLOUD_DRY_RUN in production; sanitized config readback and log fixtures show no OTP/full phone; testing still uses explicitly isolated fixtures.</x:v>
      </x:c>
      <x:c r="E17" s="22" t="str">
        <x:v>Production OTP dry-run guard/redaction implementation locally tested; deployment pending.</x:v>
      </x:c>
      <x:c r="F17" s="22" t="str">
        <x:v>No new completion claim in this increment.</x:v>
      </x:c>
      <x:c r="G17" s="22" t="str">
        <x:v>https://drive.google.com/file/d/15X3_uSbHztLL57IL_d3Xo9hc9zInJuyN/view</x:v>
      </x:c>
      <x:c r="H17" s="22" t="str">
        <x:v>supabase/functions/_shared/whatsapp-cloud.ts:218-220; audit/privacy_review.md PRIV-09
Original source: https://drive.google.com/file/d/12qJwdf1UXnXqeY3d1I9ttnFYZhMZ77pT/view?usp=drivesdk</x:v>
      </x:c>
    </x:row>
    <x:row r="18" ht="174" customHeight="1">
      <x:c r="A18" s="22" t="str">
        <x:v>M013</x:v>
      </x:c>
      <x:c r="B18" s="22" t="str">
        <x:v>Core</x:v>
      </x:c>
      <x:c r="C18" s="22" t="str">
        <x:v>Abuse prevention</x:v>
      </x:c>
      <x:c r="D18" s="22" t="str">
        <x:v>Document acceptable device/app verdicts and exceptions; replay/content-substitution fixtures fail where required; monitor-to-enforce decision uses measured false rejects and does not indiscriminately block users.</x:v>
      </x:c>
      <x:c r="E18" s="22" t="str">
        <x:v>No completion claimed by these increments. Original audit acceptance criteria remain applicable.</x:v>
      </x:c>
      <x:c r="F18" s="22" t="str">
        <x:v>No new completion claim in this increment.</x:v>
      </x:c>
      <x:c r="G18" s="22" t="str">
        <x:v>https://drive.google.com/file/d/15X3_uSbHztLL57IL_d3Xo9hc9zInJuyN/view</x:v>
      </x:c>
      <x:c r="H18" s="22" t="str">
        <x:v>supabase/functions/_shared/play-integrity.ts:66-72,118-298; audit/backend_review.md B-10; https://developer.android.com/google/play/integrity/classic
Original source: https://drive.google.com/file/d/1D17M-jpEvOSKaBtoBJFHNSl_V1u-p1zf/view?usp=drivesdk</x:v>
      </x:c>
    </x:row>
    <x:row r="19" ht="174" customHeight="1">
      <x:c r="A19" s="22" t="str">
        <x:v>M014</x:v>
      </x:c>
      <x:c r="B19" s="22" t="str">
        <x:v>Core</x:v>
      </x:c>
      <x:c r="C19" s="22" t="str">
        <x:v>Web session security</x:v>
      </x:c>
      <x:c r="D19" s="22" t="str">
        <x:v>Approved persistence policy, effective headers and browser expiry/revoke/role-change tests recorded; cached pages and service workers expose no prior-account sensitive data.</x:v>
      </x:c>
      <x:c r="E19" s="22" t="str">
        <x:v>No completion claimed by these increments. Original audit acceptance criteria remain applicable.</x:v>
      </x:c>
      <x:c r="F19" s="22" t="str">
        <x:v>No new completion claim in this increment.</x:v>
      </x:c>
      <x:c r="G19" s="22" t="str">
        <x:v>https://drive.google.com/file/d/15X3_uSbHztLL57IL_d3Xo9hc9zInJuyN/view</x:v>
      </x:c>
      <x:c r="H19" s="22" t="str">
        <x:v>audit/flutter_review.md FL-10; scripts/web/admin_service_worker.js; scripts/tests/admin_service_worker.test.mjs; audit/validation_review.md Node Pages/Admin scope
Original source: https://drive.google.com/file/d/1AclcH-_QKjPYyyPzDbMD-36G3H2OV87A/view?usp=drivesdk
https://drive.google.com/file/d/16ZESpb117vIxtZrIiAGQhMaJiPaz_oh3/view?usp=drivesdk</x:v>
      </x:c>
    </x:row>
    <x:row r="20" ht="174" customHeight="1">
      <x:c r="A20" s="22" t="str">
        <x:v>M015</x:v>
      </x:c>
      <x:c r="B20" s="22" t="str">
        <x:v>Paid transport</x:v>
      </x:c>
      <x:c r="C20" s="22" t="str">
        <x:v>Booking authorization</x:v>
      </x:c>
      <x:c r="D20" s="22" t="str">
        <x:v>Direct PostgREST attempts to set confirmed/paid, paid_at, receipt, price, route or seat authority fail for passengers; only trusted transactional RPCs can make valid transitions.</x:v>
      </x:c>
      <x:c r="E20" s="22" t="str">
        <x:v>Direct booking-write containment body prepared; database/PostgREST authorization matrix not run.</x:v>
      </x:c>
      <x:c r="F20" s="22" t="str">
        <x:v>No new completion claim in this increment.</x:v>
      </x:c>
      <x:c r="G20" s="22" t="str">
        <x:v>https://drive.google.com/file/d/15X3_uSbHztLL57IL_d3Xo9hc9zInJuyN/view</x:v>
      </x:c>
      <x:c r="H20" s="22" t="str">
        <x:v>supabase/migrations/20260608093000_public_transport_booking_foundation.sql:253,401-413; audit/backend_review.md B-01; audit/validation_review.md IV-03
Original source: https://drive.google.com/file/d/1PcLY4jkG2pCwPilr22NSbzjK9LsjgnEV/view?usp=drivesdk</x:v>
      </x:c>
    </x:row>
    <x:row r="21" ht="174" customHeight="1">
      <x:c r="A21" s="22" t="str">
        <x:v>M016</x:v>
      </x:c>
      <x:c r="B21" s="22" t="str">
        <x:v>SMS</x:v>
      </x:c>
      <x:c r="C21" s="22" t="str">
        <x:v>Receipt integrity</x:v>
      </x:c>
      <x:c r="D21" s="22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E21" s="22" t="str">
        <x:v>Strong SMS receipt eligibility implemented in Edge/SQL candidate; operator evidence and DB activation tests pending.</x:v>
      </x:c>
      <x:c r="F21" s="22" t="str">
        <x:v>No new completion claim in this increment.</x:v>
      </x:c>
      <x:c r="G21" s="22" t="str">
        <x:v>https://drive.google.com/file/d/15X3_uSbHztLL57IL_d3Xo9hc9zInJuyN/view</x:v>
      </x:c>
      <x:c r="H21" s="22" t="str">
        <x:v>supabase/functions/_shared/momo-sms.ts:155-200; supabase/functions/momobio-sms-ingest/index.ts:52-73; supabase/migrations/20260906145000_subscription_receipt_integrity.sql:156-219; audit/validation_review.md IV-02
Original source: https://drive.google.com/file/d/1VLrjCisiaiRqSAoExNMKwOtQXGdWo2TW/view?usp=drivesdk
https://drive.google.com/file/d/1ABtcrIk1N1ve9MSKEpHlyDgu4FLI8yKi/view?usp=drivesdk</x:v>
      </x:c>
    </x:row>
    <x:row r="22" ht="174" customHeight="1">
      <x:c r="A22" s="22" t="str">
        <x:v>M017</x:v>
      </x:c>
      <x:c r="B22" s="22" t="str">
        <x:v>Paid transport</x:v>
      </x:c>
      <x:c r="C22" s="22" t="str">
        <x:v>Seat inventory</x:v>
      </x:c>
      <x:c r="D22" s="22" t="str">
        <x:v>Bounded expiry job, cancellation and hold idempotency work; concurrent last-seat/expiry/confirmation tests conserve inventory and never produce negative or stranded seats.</x:v>
      </x:c>
      <x:c r="E22" s="22" t="str">
        <x:v>Idempotent holds and durable expiry/release implemented in forward SQL body; concurrency DB test pending.</x:v>
      </x:c>
      <x:c r="F22" s="22" t="str">
        <x:v>No new completion claim in this increment.</x:v>
      </x:c>
      <x:c r="G22" s="22" t="str">
        <x:v>https://drive.google.com/file/d/15X3_uSbHztLL57IL_d3Xo9hc9zInJuyN/view</x:v>
      </x:c>
      <x:c r="H22" s="22" t="str">
        <x:v>supabase/migrations/20260611170000_public_transport_rpc_column_qualification.sql:7-160; audit/backend_review.md B-04; audit/validation_review.md IV-05
Original source: https://drive.google.com/file/d/1FyZe9Prez95TVZQwyrYGKgBf7Fw0XAm3/view?usp=drivesdk</x:v>
      </x:c>
    </x:row>
    <x:row r="23" ht="174" customHeight="1">
      <x:c r="A23" s="22" t="str">
        <x:v>M018</x:v>
      </x:c>
      <x:c r="B23" s="22" t="str">
        <x:v>Paid transport</x:v>
      </x:c>
      <x:c r="C23" s="22" t="str">
        <x:v>Payment receipts</x:v>
      </x:c>
      <x:c r="D23" s="22" t="str">
        <x:v>Duplicate reference on same booking is idempotent; reference reuse on another booking is rejected; amount/currency and issuer authority are checked under concurrent confirmation.</x:v>
      </x:c>
      <x:c r="E23" s="22" t="str">
        <x:v>Receipt-to-booking binding and cross-booking reuse rejection implemented; real DB concurrency/payment tests pending.</x:v>
      </x:c>
      <x:c r="F23" s="22" t="str">
        <x:v>No new completion claim in this increment.</x:v>
      </x:c>
      <x:c r="G23" s="22" t="str">
        <x:v>https://drive.google.com/file/d/15X3_uSbHztLL57IL_d3Xo9hc9zInJuyN/view</x:v>
      </x:c>
      <x:c r="H23" s="22" t="str">
        <x:v>supabase/migrations/20260611170000_public_transport_rpc_column_qualification.sql:163-204; audit/backend_review.md B-05
Original source: https://drive.google.com/file/d/1FyZe9Prez95TVZQwyrYGKgBf7Fw0XAm3/view?usp=drivesdk</x:v>
      </x:c>
    </x:row>
    <x:row r="24" ht="174" customHeight="1">
      <x:c r="A24" s="22" t="str">
        <x:v>M019</x:v>
      </x:c>
      <x:c r="B24" s="22" t="str">
        <x:v>SMS</x:v>
      </x:c>
      <x:c r="C24" s="22" t="str">
        <x:v>Subscription periods</x:v>
      </x:c>
      <x:c r="D24" s="22" t="str">
        <x:v>Deterministic two-session test with distinct receipts preserves both paid durations without overlap; duplicate invoice retry creates exactly one activation; expiry boundaries are explicit.</x:v>
      </x:c>
      <x:c r="E24" s="22" t="str">
        <x:v>Entitlement serialization candidate exists in strict receipt body; real two-session DB test pending.</x:v>
      </x:c>
      <x:c r="F24" s="22" t="str">
        <x:v>No new completion claim in this increment.</x:v>
      </x:c>
      <x:c r="G24" s="22" t="str">
        <x:v>https://drive.google.com/file/d/15X3_uSbHztLL57IL_d3Xo9hc9zInJuyN/view</x:v>
      </x:c>
      <x:c r="H24" s="22" t="str">
        <x:v>supabase/migrations/20260906145000_subscription_receipt_integrity.sql:298-390; audit/backend_review.md B-06; audit/validation_review.md IV-04
Original source: https://drive.google.com/file/d/1VLrjCisiaiRqSAoExNMKwOtQXGdWo2TW/view?usp=drivesdk</x:v>
      </x:c>
    </x:row>
    <x:row r="25" ht="174" customHeight="1">
      <x:c r="A25" s="22" t="str">
        <x:v>M020</x:v>
      </x:c>
      <x:c r="B25" s="22" t="str">
        <x:v>SMS</x:v>
      </x:c>
      <x:c r="C25" s="22" t="str">
        <x:v>Merchant configuration</x:v>
      </x:c>
      <x:c r="D25" s="22" t="str">
        <x:v>Each enabled collector maps to approved merchant/account/operator/currency and parser fixtures; missing or wrong configuration blocks auto-credit with visible reason; no guessed merchant identifier.</x:v>
      </x:c>
      <x:c r="E25" s="22" t="str">
        <x:v>Explicit merchant/sender policy structure implemented; approved live operator configuration not supplied.</x:v>
      </x:c>
      <x:c r="F25" s="22" t="str">
        <x:v>No new completion claim in this increment.</x:v>
      </x:c>
      <x:c r="G25" s="22" t="str">
        <x:v>https://drive.google.com/file/d/15X3_uSbHztLL57IL_d3Xo9hc9zInJuyN/view</x:v>
      </x:c>
      <x:c r="H25" s="22" t="str">
        <x:v>supabase/migrations/20260906145000_subscription_receipt_integrity.sql; supabase/functions/_shared/momo-sms.ts; audit/backend_review.md B-03
Original source: https://drive.google.com/file/d/1VLrjCisiaiRqSAoExNMKwOtQXGdWo2TW/view?usp=drivesdk
https://drive.google.com/file/d/1jy2qeudD4ypMt6bl6SltIQwb3KGpece7/view?usp=drivesdk</x:v>
      </x:c>
    </x:row>
    <x:row r="26" ht="174" customHeight="1">
      <x:c r="A26" s="22" t="str">
        <x:v>M021</x:v>
      </x:c>
      <x:c r="B26" s="22" t="str">
        <x:v>Core</x:v>
      </x:c>
      <x:c r="C26" s="22" t="str">
        <x:v>Financial retries</x:v>
      </x:c>
      <x:c r="D26" s="22" t="str">
        <x:v>Response loss, process restart, account switch and failed storage retain correct operation identity or block unsafe retry; committed operation is discoverable; duplicate retry cannot charge twice.</x:v>
      </x:c>
      <x:c r="E26" s="22" t="str">
        <x:v>No completion claimed by these increments. Original audit acceptance criteria remain applicable.</x:v>
      </x:c>
      <x:c r="F26" s="22" t="str">
        <x:v>No new completion claim in this increment.</x:v>
      </x:c>
      <x:c r="G26" s="22" t="str">
        <x:v>https://drive.google.com/file/d/15X3_uSbHztLL57IL_d3Xo9hc9zInJuyN/view</x:v>
      </x:c>
      <x:c r="H26" s="22" t="str">
        <x:v>lib/features/profile/presentation/wallet_screen.dart:782-828; audit/flutter_review.md FL-13
Original source: https://drive.google.com/file/d/1LlppucPRV_7Kpp3kh07UDhWL39XAPyVI/view?usp=drivesdk</x:v>
      </x:c>
    </x:row>
    <x:row r="27" ht="174" customHeight="1">
      <x:c r="A27" s="22" t="str">
        <x:v>M022</x:v>
      </x:c>
      <x:c r="B27" s="22" t="str">
        <x:v>Paid transport</x:v>
      </x:c>
      <x:c r="C27" s="22" t="str">
        <x:v>Financial boundaries</x:v>
      </x:c>
      <x:c r="D27" s="22" t="str">
        <x:v>Approved rules and tests cover invalid/zero/negative/large amounts, currency, timezone/day rollover, duplicate refund, cancellation after payment and reconciliation; no new settlement engine is introduced.</x:v>
      </x:c>
      <x:c r="E27" s="22" t="str">
        <x:v>No completion claimed by these increments. Original audit acceptance criteria remain applicable.</x:v>
      </x:c>
      <x:c r="F27" s="22" t="str">
        <x:v>No new completion claim in this increment.</x:v>
      </x:c>
      <x:c r="G27" s="22" t="str">
        <x:v>https://drive.google.com/file/d/15X3_uSbHztLL57IL_d3Xo9hc9zInJuyN/view</x:v>
      </x:c>
      <x:c r="H27" s="22" t="str">
        <x:v>audit/backend_review.md recommended tasks; docs/product/public_transport_tracking_booking_scope_2026-06-08.md; audit/privacy_review.md section 5
Original source: https://drive.google.com/file/d/11YYuUj98ZIEPP48aikNWMtWIGKOcwybM/view?usp=drivesdk</x:v>
      </x:c>
    </x:row>
    <x:row r="28" ht="174" customHeight="1">
      <x:c r="A28" s="22" t="str">
        <x:v>M023</x:v>
      </x:c>
      <x:c r="B28" s="22" t="str">
        <x:v>SMS</x:v>
      </x:c>
      <x:c r="C28" s="22" t="str">
        <x:v>Financial reconciliation</x:v>
      </x:c>
      <x:c r="D28" s="22" t="str">
        <x:v>Daily exception report reconciles eligible receipts, duplicate/rejected/quarantined cases and credits to trusted operator evidence; lost receipt/manual resolution is audited without permissive auto-match.</x:v>
      </x:c>
      <x:c r="E28" s="22" t="str">
        <x:v>No completion claimed by these increments. Original audit acceptance criteria remain applicable.</x:v>
      </x:c>
      <x:c r="F28" s="22" t="str">
        <x:v>No new completion claim in this increment.</x:v>
      </x:c>
      <x:c r="G28" s="22" t="str">
        <x:v>https://drive.google.com/file/d/15X3_uSbHztLL57IL_d3Xo9hc9zInJuyN/view</x:v>
      </x:c>
      <x:c r="H28" s="22" t="str">
        <x:v>apps/momobio_sms_bridge/app/src/main/java/com/momobio/app/SmsReceiver.kt; audit/platform_review.md PL-06; audit/backend_review.md B-03
Original source: https://drive.google.com/file/d/14Xk8YpNg33EJncxUz4ZFh08gXr_v_0gT/view?usp=drivesdk</x:v>
      </x:c>
    </x:row>
    <x:row r="29" ht="174" customHeight="1">
      <x:c r="A29" s="22" t="str">
        <x:v>M024</x:v>
      </x:c>
      <x:c r="B29" s="22" t="str">
        <x:v>Paid transport</x:v>
      </x:c>
      <x:c r="C29" s="22" t="str">
        <x:v>Operating authority</x:v>
      </x:c>
      <x:c r="D29" s="22" t="str">
        <x:v>Current primary rules and actual funds flow support a written decision for each enabled paid feature; provider/agency contracts, responsible entity and customer promises are recorded; unresolved features stay disabled.</x:v>
      </x:c>
      <x:c r="E29" s="22" t="str">
        <x:v>No completion claimed by these increments. Original audit acceptance criteria remain applicable.</x:v>
      </x:c>
      <x:c r="F29" s="22" t="str">
        <x:v>No new completion claim in this increment.</x:v>
      </x:c>
      <x:c r="G29" s="22" t="str">
        <x:v>https://drive.google.com/file/d/15X3_uSbHztLL57IL_d3Xo9hc9zInJuyN/view</x:v>
      </x:c>
      <x:c r="H29" s="22" t="str">
        <x:v>audit/privacy_review.md section 5; docs/product/public_transport_tracking_booking_scope_2026-06-08.md
Original source: https://drive.google.com/file/d/11YYuUj98ZIEPP48aikNWMtWIGKOcwybM/view?usp=drivesdk</x:v>
      </x:c>
    </x:row>
    <x:row r="30" ht="174" customHeight="1">
      <x:c r="A30" s="22" t="str">
        <x:v>M025</x:v>
      </x:c>
      <x:c r="B30" s="22" t="str">
        <x:v>SMS</x:v>
      </x:c>
      <x:c r="C30" s="22" t="str">
        <x:v>Collector signing</x:v>
      </x:c>
      <x:c r="D30" s="22" t="str">
        <x:v>Distribution artifact uses approved managed signing; signature/version verified; enrolled request-signing identity and pending receipts survive supported updates or a documented controlled migration.</x:v>
      </x:c>
      <x:c r="E30" s="22" t="str">
        <x:v>Managed collector signing guard; non-destructive installer verifies independently approved certificate. Six parser tests pass; no signed APK/key rotation/fleet update observed.</x:v>
      </x:c>
      <x:c r="F30" s="22" t="str">
        <x:v>No new completion claim in this increment.</x:v>
      </x:c>
      <x:c r="G30" s="22" t="str">
        <x:v>https://drive.google.com/file/d/15X3_uSbHztLL57IL_d3Xo9hc9zInJuyN/view</x:v>
      </x:c>
      <x:c r="H30" s="22" t="str">
        <x:v>apps/momobio_sms_bridge/scripts/device_uat.sh:69-76; apps/momobio_sms_bridge/app/build.gradle.kts; audit/platform_review.md PL-04
Original source: https://drive.google.com/file/d/1MLWnXsRSeoudgNb9hkGCqMeXVXFZumKJ/view?usp=drivesdk
https://drive.google.com/file/d/13unWV3K7o-vQdJnFfdpVzk5xZckDNc47/view?usp=drivesdk</x:v>
      </x:c>
    </x:row>
    <x:row r="31" ht="174" customHeight="1">
      <x:c r="A31" s="22" t="str">
        <x:v>M026</x:v>
      </x:c>
      <x:c r="B31" s="22" t="str">
        <x:v>SMS</x:v>
      </x:c>
      <x:c r="C31" s="22" t="str">
        <x:v>Collection minimization</x:v>
      </x:c>
      <x:c r="D31" s="22" t="str">
        <x:v>Unrelated sender/content fixtures never enter queue or network; notice explains purpose, recipients, retention and support before access; changed formats route to minimal controlled review without auto-credit.</x:v>
      </x:c>
      <x:c r="E31" s="22" t="str">
        <x:v>Literal on-device sender/marker filter, opt-in fingerprinted notice and pause control implemented. Pure policy tests pass; Android permission/device behavior and actual operator formats not accepted.</x:v>
      </x:c>
      <x:c r="F31" s="22" t="str">
        <x:v>No new completion claim in this increment.</x:v>
      </x:c>
      <x:c r="G31" s="22" t="str">
        <x:v>https://drive.google.com/file/d/15X3_uSbHztLL57IL_d3Xo9hc9zInJuyN/view</x:v>
      </x:c>
      <x:c r="H31" s="22" t="str">
        <x:v>apps/momobio_sms_bridge/app/src/main/java/com/momobio/app/SmsReceiver.kt; SmsReceiptDecoder.kt; UploadClient.kt; audit/platform_review.md PL-05; audit/privacy_review.md PRIV-03
Original source: https://drive.google.com/file/d/14Xk8YpNg33EJncxUz4ZFh08gXr_v_0gT/view?usp=drivesdk</x:v>
      </x:c>
    </x:row>
    <x:row r="32" ht="174" customHeight="1">
      <x:c r="A32" s="22" t="str">
        <x:v>M027</x:v>
      </x:c>
      <x:c r="B32" s="22" t="str">
        <x:v>SMS</x:v>
      </x:c>
      <x:c r="C32" s="22" t="str">
        <x:v>Distribution policy</x:v>
      </x:c>
      <x:c r="D32" s="22" t="str">
        <x:v>Actual channel and authorized device population recorded; applicable Play exception/permission and foreground-service review evidence supplied before public distribution; private-policy claims match access controls.</x:v>
      </x:c>
      <x:c r="E32" s="22" t="str">
        <x:v>Private-fleet/public-store boundary documented. No channel approval, SMS exception or FGS approval obtained.</x:v>
      </x:c>
      <x:c r="F32" s="22" t="str">
        <x:v>No new completion claim in this increment.</x:v>
      </x:c>
      <x:c r="G32" s="22" t="str">
        <x:v>https://drive.google.com/file/d/15X3_uSbHztLL57IL_d3Xo9hc9zInJuyN/view</x:v>
      </x:c>
      <x:c r="H32" s="22" t="str">
        <x:v>apps/momobio_sms_bridge/README.md; app/src/main/AndroidManifest.xml; https://support.google.com/googleplay/android-developer/answer/10208820; audit/platform_review.md PL-05
Original source: https://drive.google.com/file/d/1THqrvAz2dVb6sLK6RTD8BeIcaQEcY1pG/view?usp=drivesdk
https://drive.google.com/file/d/1qFn0W9M6GEXpT3ZhuSm-AyB38Qxnkqah/view?usp=drivesdk</x:v>
      </x:c>
    </x:row>
    <x:row r="33" ht="174" customHeight="1">
      <x:c r="A33" s="22" t="str">
        <x:v>M028</x:v>
      </x:c>
      <x:c r="B33" s="22" t="str">
        <x:v>SMS</x:v>
      </x:c>
      <x:c r="C33" s="22" t="str">
        <x:v>Durable queue</x:v>
      </x:c>
      <x:c r="D33" s="22" t="str">
        <x:v>Crash/restart/disk-full/corrupt-row and partial-ack tests preserve eligible records; bounded batches/age/bytes and dedupe retention verified; capacity alerts precede exhaustion; migration is lossless.</x:v>
      </x:c>
      <x:c r="E33" s="22" t="str">
        <x:v>Bounded transactional SQLite adapter with legacy migration/quarantine and raw-body removal on acknowledgement implemented. Fifteen actual SQLite schema/DML tests pass; Android adapter tests authored but not run; supervised recovery still required.</x:v>
      </x:c>
      <x:c r="F33" s="22" t="str">
        <x:v>No new completion claim in this increment.</x:v>
      </x:c>
      <x:c r="G33" s="22" t="str">
        <x:v>https://drive.google.com/file/d/15X3_uSbHztLL57IL_d3Xo9hc9zInJuyN/view</x:v>
      </x:c>
      <x:c r="H33" s="22" t="str">
        <x:v>apps/momobio_sms_bridge/app/src/main/java/com/momobio/app/SmsQueue.kt; audit/platform_review.md PL-06; audit/privacy_review.md PRIV-08
Original source: https://drive.google.com/file/d/1-yEWiItXERM_jmBtgePmT13WZUNUb0g-/view?usp=drivesdk</x:v>
      </x:c>
    </x:row>
    <x:row r="34" ht="174" customHeight="1">
      <x:c r="A34" s="22" t="str">
        <x:v>M029</x:v>
      </x:c>
      <x:c r="B34" s="22" t="str">
        <x:v>SMS</x:v>
      </x:c>
      <x:c r="C34" s="22" t="str">
        <x:v>Retry coordination</x:v>
      </x:c>
      <x:c r="D34" s="22" t="str">
        <x:v>One shared batch lease prevents concurrent uploads; bounded jitter/backoff handles 429/503/network loss; each attempt retains fresh nonce/signature; partial-success retries cannot duplicate credits.</x:v>
      </x:c>
      <x:c r="E34" s="22" t="str">
        <x:v>Shared OS file lease including separate-process tests, persisted jitter/backoff, bounded batches and KEEP scheduling implemented. Android/WorkManager lifecycle acceptance not run.</x:v>
      </x:c>
      <x:c r="F34" s="22" t="str">
        <x:v>Durable worker retry/lease code and sanitized retry outcomes; provider and database acceptance remain open.</x:v>
      </x:c>
      <x:c r="G34" s="22" t="str">
        <x:v>https://drive.google.com/file/d/15X3_uSbHztLL57IL_d3Xo9hc9zInJuyN/view</x:v>
      </x:c>
      <x:c r="H34" s="22" t="str">
        <x:v>apps/momobio_sms_bridge/app/src/main/java/com/momobio/app/BridgeSupervisor.kt; BridgeForegroundService.kt; BridgeSyncWorker.kt; UploadClient.kt; audit/platform_review.md PL-07
Original source: https://drive.google.com/file/d/1TCLP0gLC0lyCHAF9vvir7CxcwCzRi3Ob/view?usp=drivesdk</x:v>
      </x:c>
    </x:row>
    <x:row r="35" ht="174" customHeight="1">
      <x:c r="A35" s="22" t="str">
        <x:v>M030</x:v>
      </x:c>
      <x:c r="B35" s="22" t="str">
        <x:v>SMS</x:v>
      </x:c>
      <x:c r="C35" s="22" t="str">
        <x:v>Collector lifecycle</x:v>
      </x:c>
      <x:c r="D35" s="22" t="str">
        <x:v>Real fleet models pass reboot/update/offline/process-death/Doze/restricted-permission cases; force-stop and OEM limitations are visible with reconciliation instructions; no fictitious always-on guarantee.</x:v>
      </x:c>
      <x:c r="E35" s="22" t="str">
        <x:v>Version-bound device/OEM/reboot/update acceptance matrix and isolated QA tests added. No physical-device result.</x:v>
      </x:c>
      <x:c r="F35" s="22" t="str">
        <x:v>No new completion claim in this increment.</x:v>
      </x:c>
      <x:c r="G35" s="22" t="str">
        <x:v>https://drive.google.com/file/d/15X3_uSbHztLL57IL_d3Xo9hc9zInJuyN/view</x:v>
      </x:c>
      <x:c r="H35" s="22" t="str">
        <x:v>apps/momobio_sms_bridge/app/src/main/java/com/momobio/app/BridgeBootReceiver.kt; audit/platform_review.md device matrix; https://developer.android.com/about/versions/16/behavior-changes-all
Original source: https://drive.google.com/file/d/1SOpL0EkATxERvbJo2lw_eXGk2mIefSgp/view?usp=drivesdk</x:v>
      </x:c>
    </x:row>
    <x:row r="36" ht="174" customHeight="1">
      <x:c r="A36" s="22" t="str">
        <x:v>M031</x:v>
      </x:c>
      <x:c r="B36" s="22" t="str">
        <x:v>SMS</x:v>
      </x:c>
      <x:c r="C36" s="22" t="str">
        <x:v>Legacy ingest authority</x:v>
      </x:c>
      <x:c r="D36" s="22" t="str">
        <x:v>Deployed endpoint/caller inventory complete; unused routes return a controlled retirement response; retained routes use registered collector authority, replay/body/rate bounds and monitored migration.</x:v>
      </x:c>
      <x:c r="E36" s="22" t="str">
        <x:v>Legacy global-secret SMS POST routes return controlled retirement; local handler fixtures pass; deployment/caller inventory pending.</x:v>
      </x:c>
      <x:c r="F36" s="22" t="str">
        <x:v>No new completion claim in this increment.</x:v>
      </x:c>
      <x:c r="G36" s="22" t="str">
        <x:v>https://drive.google.com/file/d/15X3_uSbHztLL57IL_d3Xo9hc9zInJuyN/view</x:v>
      </x:c>
      <x:c r="H36" s="22" t="str">
        <x:v>supabase/functions/parse-sms/index.ts:22-42; supabase/functions/reconcile-momo-sms/index.ts:22-42; audit/backend_review.md B-08
Original source: https://drive.google.com/file/d/1snmFTu4PpKv7cY09FBswSVfAuSWoy_-f/view?usp=drivesdk
https://drive.google.com/file/d/1Q_gKdjfTVAO5JjxLkfYPMHPt1hfo1vtr/view?usp=drivesdk</x:v>
      </x:c>
    </x:row>
    <x:row r="37" ht="174" customHeight="1">
      <x:c r="A37" s="22" t="str">
        <x:v>M032</x:v>
      </x:c>
      <x:c r="B37" s="22" t="str">
        <x:v>SMS</x:v>
      </x:c>
      <x:c r="C37" s="22" t="str">
        <x:v>Backend intake</x:v>
      </x:c>
      <x:c r="D37" s="22" t="str">
        <x:v>Durable per-message intake/outcome identity; bounded worker with leases/retry/dead-letter handling; crash after first item or lost final acknowledgement yields one financial effect and reproducible status.</x:v>
      </x:c>
      <x:c r="E37" s="22" t="str">
        <x:v>Full asynchronous durable backend intake/worker is NOT implemented. Eligible batch parsing remains sequential; health/admission preflight does not close this task.</x:v>
      </x:c>
      <x:c r="F37" s="22" t="str">
        <x:v>Asynchronous batch admission, private persistent queue, separate worker and lease-fenced allocator completion implemented. 86 Node handler fixtures pass; SQL not executed.</x:v>
      </x:c>
      <x:c r="G37" s="22" t="str">
        <x:v>https://drive.google.com/file/d/15X3_uSbHztLL57IL_d3Xo9hc9zInJuyN/view</x:v>
      </x:c>
      <x:c r="H37" s="22" t="str">
        <x:v>supabase/functions/momobio-sms-ingest/index.ts; audit/backend_review.md collector strengths and partial-batch risk
Original source: https://drive.google.com/file/d/1ABtcrIk1N1ve9MSKEpHlyDgu4FLI8yKi/view?usp=drivesdk</x:v>
      </x:c>
    </x:row>
    <x:row r="38" ht="174" customHeight="1">
      <x:c r="A38" s="22" t="str">
        <x:v>M033</x:v>
      </x:c>
      <x:c r="B38" s="22" t="str">
        <x:v>SMS</x:v>
      </x:c>
      <x:c r="C38" s="22" t="str">
        <x:v>Fleet security</x:v>
      </x:c>
      <x:c r="D38" s="22" t="str">
        <x:v>Named custodians and inventory; dedicated SIM restriction, screen/device protection, enrollment approval, lost-device revocation, replacement/export policy and staff training rehearsed with no personal-SMS collection.</x:v>
      </x:c>
      <x:c r="E38" s="22" t="str">
        <x:v>Fleet custodian/enrollment/revocation/recovery responsibilities documented; actual organizational inventory and exercises remain open.</x:v>
      </x:c>
      <x:c r="F38" s="22" t="str">
        <x:v>No new completion claim in this increment.</x:v>
      </x:c>
      <x:c r="G38" s="22" t="str">
        <x:v>https://drive.google.com/file/d/15X3_uSbHztLL57IL_d3Xo9hc9zInJuyN/view</x:v>
      </x:c>
      <x:c r="H38" s="22" t="str">
        <x:v>apps/momobio_sms_bridge/README.md; audit/privacy_review.md PR-T06; audit/platform_review.md PL-04 to PL-07
Original source: https://drive.google.com/file/d/1THqrvAz2dVb6sLK6RTD8BeIcaQEcY1pG/view?usp=drivesdk
https://drive.google.com/file/d/1qFn0W9M6GEXpT3ZhuSm-AyB38Qxnkqah/view?usp=drivesdk</x:v>
      </x:c>
    </x:row>
    <x:row r="39" ht="174" customHeight="1">
      <x:c r="A39" s="22" t="str">
        <x:v>M034</x:v>
      </x:c>
      <x:c r="B39" s="22" t="str">
        <x:v>SMS</x:v>
      </x:c>
      <x:c r="C39" s="22" t="str">
        <x:v>Collector health</x:v>
      </x:c>
      <x:c r="D39" s="22" t="str">
        <x:v>Missing config, expired/revoked key, denied permission and server outage have distinct states; last successful server acknowledgement and oldest eligible receipt are visible and alertable.</x:v>
      </x:c>
      <x:c r="E39" s="22" t="str">
        <x:v>Signed server-health handshake, separate allocation state, freshness, queue/review/capacity status and safe UI failure state implemented. Actual handler fixtures pass; Android UI not run.</x:v>
      </x:c>
      <x:c r="F39" s="22" t="str">
        <x:v>Signed health now reads intake storage, queue/review counts and worker heartbeat; scheduling templates supplied.</x:v>
      </x:c>
      <x:c r="G39" s="22" t="str">
        <x:v>https://drive.google.com/file/d/15X3_uSbHztLL57IL_d3Xo9hc9zInJuyN/view</x:v>
      </x:c>
      <x:c r="H39" s="22" t="str">
        <x:v>apps/momobio_sms_bridge/app/src/main/java/com/momobio/app/MainActivity.kt; UploadClient.kt; audit/platform_review.md PL-07
Original source: https://drive.google.com/file/d/1VaIxl4s-bYjAbwW0zj8QP29_x09Ag4sb/view?usp=drivesdk</x:v>
      </x:c>
    </x:row>
    <x:row r="40" ht="174" customHeight="1">
      <x:c r="A40" s="22" t="str">
        <x:v>M035</x:v>
      </x:c>
      <x:c r="B40" s="22" t="str">
        <x:v>Face</x:v>
      </x:c>
      <x:c r="C40" s="22" t="str">
        <x:v>Face release policy</x:v>
      </x:c>
      <x:c r="D40" s="22" t="str">
        <x:v>One versioned decision binds approved no-liveness recipient lookup, model/policy/index and health semantics; enablement requires acceptance; manual/QR alternatives remain usable; dialer launch never means settlement.</x:v>
      </x:c>
      <x:c r="E40" s="22" t="str">
        <x:v>No completion claimed by these increments. Original audit acceptance criteria remain applicable.</x:v>
      </x:c>
      <x:c r="F40" s="22" t="str">
        <x:v>No new completion claim in this increment.</x:v>
      </x:c>
      <x:c r="G40" s="22" t="str">
        <x:v>https://drive.google.com/file/d/15X3_uSbHztLL57IL_d3Xo9hc9zInJuyN/view</x:v>
      </x:c>
      <x:c r="H40" s="22" t="str">
        <x:v>docs/product/face-ussd-20260920/APPROVAL.md; supabase/migrations/20260920150000_biopay_face_shortcut.sql; audit/validation_review.md section 2
Original source: https://drive.google.com/file/d/1xop9aCYCPDg70qLFnM9fyHhWzGvx-Vc1/view?usp=drivesdk
https://drive.google.com/file/d/1Ql7MVmCXqbgiB8DwU11kDXAjNmRtYF-k/view?usp=drivesdk</x:v>
      </x:c>
    </x:row>
    <x:row r="41" ht="174" customHeight="1">
      <x:c r="A41" s="22" t="str">
        <x:v>M036</x:v>
      </x:c>
      <x:c r="B41" s="22" t="str">
        <x:v>Face</x:v>
      </x:c>
      <x:c r="C41" s="22" t="str">
        <x:v>Inference artifact</x:v>
      </x:c>
      <x:c r="D41" s="22" t="str">
        <x:v>Immutable image/model digests and licences recorded; real health/embed tests pass in Linux container; Worker authentication, private binding, index dimension/version and environment isolation verified.</x:v>
      </x:c>
      <x:c r="E41" s="22" t="str">
        <x:v>No completion claimed by these increments. Original audit acceptance criteria remain applicable.</x:v>
      </x:c>
      <x:c r="F41" s="22" t="str">
        <x:v>No new completion claim in this increment.</x:v>
      </x:c>
      <x:c r="G41" s="22" t="str">
        <x:v>https://drive.google.com/file/d/15X3_uSbHztLL57IL_d3Xo9hc9zInJuyN/view</x:v>
      </x:c>
      <x:c r="H41" s="22" t="str">
        <x:v>services/face-inference/Dockerfile; cloudflare/face-service/wrangler.jsonc; docs/product/face-ussd-20260920/IMPLEMENTATION_REPORT.md; audit/operations_review.md OPS-04
Original source: https://drive.google.com/file/d/13toaULZ0qSRF3mcOySrbey9WeHRMSidj/view?usp=drivesdk
https://drive.google.com/file/d/10XfUXtvPdRtBHiWA9yhRro_v6glk8XvJ/view?usp=drivesdk</x:v>
      </x:c>
    </x:row>
    <x:row r="42" ht="174" customHeight="1">
      <x:c r="A42" s="22" t="str">
        <x:v>M037</x:v>
      </x:c>
      <x:c r="B42" s="22" t="str">
        <x:v>Face</x:v>
      </x:c>
      <x:c r="C42" s="22" t="str">
        <x:v>Deployment contracts</x:v>
      </x:c>
      <x:c r="D42" s="22" t="str">
        <x:v>Full-schema rehearsal verifies exact RPC argument/privilege/session contract; deployment history, secrets presence and scheduled execution read back; activation and deletion converge after provider interruption.</x:v>
      </x:c>
      <x:c r="E42" s="22" t="str">
        <x:v>No completion claimed by these increments. Original audit acceptance criteria remain applicable.</x:v>
      </x:c>
      <x:c r="F42" s="22" t="str">
        <x:v>No new completion claim in this increment.</x:v>
      </x:c>
      <x:c r="G42" s="22" t="str">
        <x:v>https://drive.google.com/file/d/15X3_uSbHztLL57IL_d3Xo9hc9zInJuyN/view</x:v>
      </x:c>
      <x:c r="H42" s="22" t="str">
        <x:v>supabase/migrations/20260920150000_biopay_face_shortcut.sql; supabase/functions/biopay-face-provider/index.ts; docs/operations/face-ussd-runbook.md; audit/operations_review.md O05,O08
Original source: https://drive.google.com/file/d/1xop9aCYCPDg70qLFnM9fyHhWzGvx-Vc1/view?usp=drivesdk
https://drive.google.com/file/d/1rDo-iJSUPd_QhiakftQOghMtlmsk2P6S/view?usp=drivesdk</x:v>
      </x:c>
    </x:row>
    <x:row r="43" ht="174" customHeight="1">
      <x:c r="A43" s="22" t="str">
        <x:v>M038</x:v>
      </x:c>
      <x:c r="B43" s="22" t="str">
        <x:v>Face</x:v>
      </x:c>
      <x:c r="C43" s="22" t="str">
        <x:v>Matching acceptance</x:v>
      </x:c>
      <x:c r="D43" s="22" t="str">
        <x:v>Pre-agreed error/latency criteria; held-out consented cohort covering lighting, skin tones, age and devices; report denominators, gallery size, uncertainty and thresholds/model hash; ambiguous matches fail safely.</x:v>
      </x:c>
      <x:c r="E43" s="22" t="str">
        <x:v>No completion claimed by these increments. Original audit acceptance criteria remain applicable.</x:v>
      </x:c>
      <x:c r="F43" s="22" t="str">
        <x:v>No new completion claim in this increment.</x:v>
      </x:c>
      <x:c r="G43" s="22" t="str">
        <x:v>https://drive.google.com/file/d/15X3_uSbHztLL57IL_d3Xo9hc9zInJuyN/view</x:v>
      </x:c>
      <x:c r="H43" s="22" t="str">
        <x:v>services/face-inference/inference.py; cloudflare/face-service/src/handler.ts; docs/product/face-ussd-20260920/IMPLEMENTATION_REPORT.md; audit/operations_review.md OPS-04
Original source: https://drive.google.com/file/d/13toaULZ0qSRF3mcOySrbey9WeHRMSidj/view?usp=drivesdk
https://drive.google.com/file/d/1ZMe2Z6-28lqVhf4GD24uS02hOaPsgsYZ/view?usp=drivesdk</x:v>
      </x:c>
    </x:row>
    <x:row r="44" ht="174" customHeight="1">
      <x:c r="A44" s="22" t="str">
        <x:v>M039</x:v>
      </x:c>
      <x:c r="B44" s="22" t="str">
        <x:v>Face</x:v>
      </x:c>
      <x:c r="C44" s="22" t="str">
        <x:v>Biometric deletion</x:v>
      </x:c>
      <x:c r="D44" s="22" t="str">
        <x:v>Immediate discovery exclusion plus eventual verified vector absence; cancellation, replacement, delayed insert, provider outage and restored-backup cases pass; cleanup owner/SLA and tombstone retention approved.</x:v>
      </x:c>
      <x:c r="E44" s="22" t="str">
        <x:v>No completion claimed by these increments. Original audit acceptance criteria remain applicable.</x:v>
      </x:c>
      <x:c r="F44" s="22" t="str">
        <x:v>No new completion claim in this increment.</x:v>
      </x:c>
      <x:c r="G44" s="22" t="str">
        <x:v>https://drive.google.com/file/d/15X3_uSbHztLL57IL_d3Xo9hc9zInJuyN/view</x:v>
      </x:c>
      <x:c r="H44" s="22" t="str">
        <x:v>docs/operations/face-ussd-runbook.md; supabase/functions/biopay-face-maintenance; audit/privacy_review.md PR-T10; audit/validation_review.md section 2
Original source: https://drive.google.com/drive/folders/1Yd3ushY1JBVNcm_zloDSgVpLwQt-k867
https://drive.google.com/file/d/1vZVjzSVzBGDPvEDyH5wTO996VJbSCDGt/view?usp=drivesdk</x:v>
      </x:c>
    </x:row>
    <x:row r="45" ht="174" customHeight="1">
      <x:c r="A45" s="22" t="str">
        <x:v>M040</x:v>
      </x:c>
      <x:c r="B45" s="22" t="str">
        <x:v>Face</x:v>
      </x:c>
      <x:c r="C45" s="22" t="str">
        <x:v>Camera-to-USSD acceptance</x:v>
      </x:c>
      <x:c r="D45" s="22" t="str">
        <x:v>Selected receiving method/number resolves correctly; changed/paused payee, timeout, interruption, cancellation, restart, dual-SIM and denial cases pass; one amount-free Android handoff; iOS fallback is clear.</x:v>
      </x:c>
      <x:c r="E45" s="22" t="str">
        <x:v>No completion claimed by these increments. Original audit acceptance criteria remain applicable.</x:v>
      </x:c>
      <x:c r="F45" s="22" t="str">
        <x:v>No new completion claim in this increment.</x:v>
      </x:c>
      <x:c r="G45" s="22" t="str">
        <x:v>https://drive.google.com/file/d/15X3_uSbHztLL57IL_d3Xo9hc9zInJuyN/view</x:v>
      </x:c>
      <x:c r="H45" s="22" t="str">
        <x:v>lib/features/biopay/presentation/biopay_face_scan_screen.dart; lib/features/biopay/domain/face_shortcut.dart; android/app/src/main/kotlin; audit/flutter_review.md strengths; audit/platform_review.md
Original source: https://drive.google.com/file/d/1VQx1_L_ad_B0ir4GoXgkwo9Em7fVeaMh/view?usp=drivesdk
https://drive.google.com/file/d/1FpuSdHRpxtU6abvwywD3Q0WKOZWat9ma/view?usp=drivesdk</x:v>
      </x:c>
    </x:row>
    <x:row r="46" ht="174" customHeight="1">
      <x:c r="A46" s="22" t="str">
        <x:v>M041</x:v>
      </x:c>
      <x:c r="B46" s="22" t="str">
        <x:v>Face</x:v>
      </x:c>
      <x:c r="C46" s="22" t="str">
        <x:v>Launch capacity</x:v>
      </x:c>
      <x:c r="D46" s="22" t="str">
        <x:v>Approved workload and p95/error budget met from target Rwandan networks; report busy/cold-start/index latency/memory/CPU; bounded capacity and safe retry decisions use results rather than autoscaling assumptions.</x:v>
      </x:c>
      <x:c r="E46" s="22" t="str">
        <x:v>No completion claimed by these increments. Original audit acceptance criteria remain applicable.</x:v>
      </x:c>
      <x:c r="F46" s="22" t="str">
        <x:v>No new completion claim in this increment.</x:v>
      </x:c>
      <x:c r="G46" s="22" t="str">
        <x:v>https://drive.google.com/file/d/15X3_uSbHztLL57IL_d3Xo9hc9zInJuyN/view</x:v>
      </x:c>
      <x:c r="H46" s="22" t="str">
        <x:v>cloudflare/face-service/wrangler.jsonc:9; src/handler.ts:90-165; services/face-inference/inference.py:32-88; audit/operations_review.md OPS-05
Original source: https://drive.google.com/file/d/10XfUXtvPdRtBHiWA9yhRro_v6glk8XvJ/view?usp=drivesdk
https://drive.google.com/file/d/140d2FVWo8zH96uUG9K55Svsd5twTSLzR/view?usp=drivesdk</x:v>
      </x:c>
    </x:row>
    <x:row r="47" ht="174" customHeight="1">
      <x:c r="A47" s="22" t="str">
        <x:v>M042</x:v>
      </x:c>
      <x:c r="B47" s="22" t="str">
        <x:v>Face</x:v>
      </x:c>
      <x:c r="C47" s="22" t="str">
        <x:v>Inference serving</x:v>
      </x:c>
      <x:c r="D47" s="22" t="str">
        <x:v>Saturation, slow/truncated/oversized body, concurrent request, termination during inference and restart tests pass; no raw payload logs or arbitrary URL fetch; concurrency and deadlines remain bounded.</x:v>
      </x:c>
      <x:c r="E47" s="22" t="str">
        <x:v>Inference HTTP service bounded/draining behavior implemented and 16 tests pass; real Linux model/image and load acceptance pending.</x:v>
      </x:c>
      <x:c r="F47" s="22" t="str">
        <x:v>No new completion claim in this increment.</x:v>
      </x:c>
      <x:c r="G47" s="22" t="str">
        <x:v>https://drive.google.com/file/d/15X3_uSbHztLL57IL_d3Xo9hc9zInJuyN/view</x:v>
      </x:c>
      <x:c r="H47" s="22" t="str">
        <x:v>services/face-inference/server.py:1,35; audit/operations_review.md OPS-09; https://docs.python.org/3.12/library/http.server.html
Original source: https://drive.google.com/file/d/1UjDIz7n8Uk4OhFXYNLmB3vShd_P1ziTY/view?usp=drivesdk</x:v>
      </x:c>
    </x:row>
    <x:row r="48" ht="174" customHeight="1">
      <x:c r="A48" s="22" t="str">
        <x:v>M043</x:v>
      </x:c>
      <x:c r="B48" s="22" t="str">
        <x:v>Face</x:v>
      </x:c>
      <x:c r="C48" s="22" t="str">
        <x:v>Face state consistency</x:v>
      </x:c>
      <x:c r="D48" s="22" t="str">
        <x:v>Concurrent enrollment/replacement, account switch, consent withdrawal, route change, expired ticket, model mismatch and ambiguous result cannot produce a stale payee handoff; retries preserve at-most-once semantics.</x:v>
      </x:c>
      <x:c r="E48" s="22" t="str">
        <x:v>No completion claimed by these increments. Original audit acceptance criteria remain applicable.</x:v>
      </x:c>
      <x:c r="F48" s="22" t="str">
        <x:v>No new completion claim in this increment.</x:v>
      </x:c>
      <x:c r="G48" s="22" t="str">
        <x:v>https://drive.google.com/file/d/15X3_uSbHztLL57IL_d3Xo9hc9zInJuyN/view</x:v>
      </x:c>
      <x:c r="H48" s="22" t="str">
        <x:v>lib/features/biopay/domain/face_shortcut.dart; supabase/migrations/20260920150000_biopay_face_shortcut.sql; cloudflare/face-service/src/handler.ts; audit/flutter_review.md
Original source: https://drive.google.com/file/d/1xop9aCYCPDg70qLFnM9fyHhWzGvx-Vc1/view?usp=drivesdk
https://drive.google.com/file/d/1FpuSdHRpxtU6abvwywD3Q0WKOZWat9ma/view?usp=drivesdk</x:v>
      </x:c>
    </x:row>
    <x:row r="49" ht="174" customHeight="1">
      <x:c r="A49" s="22" t="str">
        <x:v>M044</x:v>
      </x:c>
      <x:c r="B49" s="22" t="str">
        <x:v>Core</x:v>
      </x:c>
      <x:c r="C49" s="22" t="str">
        <x:v>Android release</x:v>
      </x:c>
      <x:c r="D49" s="22" t="str">
        <x:v>Release manifest confirms target36; edge-to-edge, predictive back, large-screen layouts, foreground services and permissions pass; actual Play preflight/extension status recorded separately from existing-app availability.</x:v>
      </x:c>
      <x:c r="E49" s="22" t="str">
        <x:v>Consumer targetSdk set to 36; signed Android 16 build/device/Play preflight not run.</x:v>
      </x:c>
      <x:c r="F49" s="22" t="str">
        <x:v>No new completion claim in this increment.</x:v>
      </x:c>
      <x:c r="G49" s="22" t="str">
        <x:v>https://drive.google.com/file/d/15X3_uSbHztLL57IL_d3Xo9hc9zInJuyN/view</x:v>
      </x:c>
      <x:c r="H49" s="22" t="str">
        <x:v>android/app/build.gradle.kts; https://support.google.com/googleplay/android-developer/answer/11926878?hl=en; https://developer.android.com/about/versions/16/behavior-changes-16; audit/platform_review.md PL-02
Original source: https://drive.google.com/file/d/1v5ftCzLKueY28L_0UpgcByPB0Hc4qHF5/view?usp=drivesdk</x:v>
      </x:c>
    </x:row>
    <x:row r="50" ht="174" customHeight="1">
      <x:c r="A50" s="22" t="str">
        <x:v>M045</x:v>
      </x:c>
      <x:c r="B50" s="22" t="str">
        <x:v>Core</x:v>
      </x:c>
      <x:c r="C50" s="22" t="str">
        <x:v>Android native libraries</x:v>
      </x:c>
      <x:c r="D50" s="22" t="str">
        <x:v>Inspect exact AAB/APKs and ELF/RELRO alignment, run zip alignment checks, install and exercise native/camera paths on 16 KB device/emulator; retain artifact evidence before 2027-02-01 update enforcement.</x:v>
      </x:c>
      <x:c r="E50" s="22" t="str">
        <x:v>No completion claimed by these increments. Original audit acceptance criteria remain applicable.</x:v>
      </x:c>
      <x:c r="F50" s="22" t="str">
        <x:v>No new completion claim in this increment.</x:v>
      </x:c>
      <x:c r="G50" s="22" t="str">
        <x:v>https://drive.google.com/file/d/15X3_uSbHztLL57IL_d3Xo9hc9zInJuyN/view</x:v>
      </x:c>
      <x:c r="H50" s="22" t="str">
        <x:v>android/settings.gradle.kts; android/app/build.gradle.kts; https://developer.android.com/guide/practices/page-sizes; audit/platform_review.md PL-09
Original source: https://drive.google.com/file/d/1v5ftCzLKueY28L_0UpgcByPB0Hc4qHF5/view?usp=drivesdk
https://drive.google.com/file/d/1Cr3nlB2FWbztO4CXBBZMibfRduyk2Rfa/view?usp=drivesdk</x:v>
      </x:c>
    </x:row>
    <x:row r="51" ht="174" customHeight="1">
      <x:c r="A51" s="22" t="str">
        <x:v>M046</x:v>
      </x:c>
      <x:c r="B51" s="22" t="str">
        <x:v>Core</x:v>
      </x:c>
      <x:c r="C51" s="22" t="str">
        <x:v>iOS release</x:v>
      </x:c>
      <x:c r="D51" s="22" t="str">
        <x:v>Xcode/iOS SDK versions asserted; signed archive entitlements/provisioning verified; TestFlight install, APNs, camera/location/NFC and recovery pass on supported iPhones; no native macOS product is implied.</x:v>
      </x:c>
      <x:c r="E51" s="22" t="str">
        <x:v>No completion claimed by these increments. Original audit acceptance criteria remain applicable.</x:v>
      </x:c>
      <x:c r="F51" s="22" t="str">
        <x:v>No new completion claim in this increment.</x:v>
      </x:c>
      <x:c r="G51" s="22" t="str">
        <x:v>https://drive.google.com/file/d/15X3_uSbHztLL57IL_d3Xo9hc9zInJuyN/view</x:v>
      </x:c>
      <x:c r="H51" s="22" t="str">
        <x:v>scripts/ci/verify_ios_release.sh:51; ios/Runner/Info.plist; ios/Runner/Runner.entitlements; https://developer.apple.com/news/upcoming-requirements/; audit/platform_review.md PL-03
Original source: https://drive.google.com/file/d/1A2RP5xT5ZyUTrF_MafKUGssYZ_4pWp8k/view?usp=drivesdk
https://drive.google.com/file/d/1BVpHj8Sp2PkZtlB_oR1YIVBzyihEFZRJ/view?usp=drivesdk</x:v>
      </x:c>
    </x:row>
    <x:row r="52" ht="174" customHeight="1">
      <x:c r="A52" s="22" t="str">
        <x:v>M047</x:v>
      </x:c>
      <x:c r="B52" s="22" t="str">
        <x:v>Core</x:v>
      </x:c>
      <x:c r="C52" s="22" t="str">
        <x:v>NFC lifecycle</x:v>
      </x:c>
      <x:c r="D52" s="22" t="str">
        <x:v>Expired, signed-out, reset, changed-owner and restarted states cannot serve stale payload; exact APDU validation tested; explicit stop clears persistent material and UI reflects current state.</x:v>
      </x:c>
      <x:c r="E52" s="22" t="str">
        <x:v>NFC native expiry/APDU policy implemented and 20 JVM scenarios pass; hardware/process/device acceptance pending.</x:v>
      </x:c>
      <x:c r="F52" s="22" t="str">
        <x:v>No new completion claim in this increment.</x:v>
      </x:c>
      <x:c r="G52" s="22" t="str">
        <x:v>https://drive.google.com/file/d/15X3_uSbHztLL57IL_d3Xo9hc9zInJuyN/view</x:v>
      </x:c>
      <x:c r="H52" s="22" t="str">
        <x:v>android/app/src/main/kotlin/rw/mobi/app/BioPayHostApduService.kt; MainActivity.kt; lib/features/biopay/presentation/biopay_nfc_screen.dart:51-62; audit/platform_review.md PL-08
Original source: https://drive.google.com/file/d/1E9pNYeMyNT7Wn5T7DP805IDmicfiFVEc/view?usp=drivesdk
https://drive.google.com/file/d/13xDP1FXYO1bq-kP2l81oWO6ytezyfSTZ/view?usp=drivesdk</x:v>
      </x:c>
    </x:row>
    <x:row r="53" ht="174" customHeight="1">
      <x:c r="A53" s="22" t="str">
        <x:v>M048</x:v>
      </x:c>
      <x:c r="B53" s="22" t="str">
        <x:v>Core</x:v>
      </x:c>
      <x:c r="C53" s="22" t="str">
        <x:v>Verified links</x:v>
      </x:c>
      <x:c r="D53" s="22" t="str">
        <x:v>Production association files match package/bundle and current signing identities; payment/auth/admin link open, malformed link, browser fallback and reinstall cases pass without open redirects or account confusion.</x:v>
      </x:c>
      <x:c r="E53" s="22" t="str">
        <x:v>No completion claimed by these increments. Original audit acceptance criteria remain applicable.</x:v>
      </x:c>
      <x:c r="F53" s="22" t="str">
        <x:v>No new completion claim in this increment.</x:v>
      </x:c>
      <x:c r="G53" s="22" t="str">
        <x:v>https://drive.google.com/file/d/15X3_uSbHztLL57IL_d3Xo9hc9zInJuyN/view</x:v>
      </x:c>
      <x:c r="H53" s="22" t="str">
        <x:v>android/app/src/main/AndroidManifest.xml; ios/Runner/Runner.entitlements; landing/.well-known; https://developer.android.com/training/app-links/verify-applinks; audit/platform_review.md
Original source: https://drive.google.com/file/d/1CshVCQSVniVLcrD_P0He9olWV0jRsK5f/view?usp=drivesdk
https://drive.google.com/file/d/1BVpHj8Sp2PkZtlB_oR1YIVBzyihEFZRJ/view?usp=drivesdk</x:v>
      </x:c>
    </x:row>
    <x:row r="54" ht="174" customHeight="1">
      <x:c r="A54" s="22" t="str">
        <x:v>M049</x:v>
      </x:c>
      <x:c r="B54" s="22" t="str">
        <x:v>Core</x:v>
      </x:c>
      <x:c r="C54" s="22" t="str">
        <x:v>Permissions and FGS</x:v>
      </x:c>
      <x:c r="D54" s="22" t="str">
        <x:v>Permission-denied/revoked/background states behave safely; background location disclosure/video and applicable FGS purpose declarations accepted for actual release; no unused permissions or misleading always-on promise.</x:v>
      </x:c>
      <x:c r="E54" s="22" t="str">
        <x:v>No completion claimed by these increments. Original audit acceptance criteria remain applicable.</x:v>
      </x:c>
      <x:c r="F54" s="22" t="str">
        <x:v>No new completion claim in this increment.</x:v>
      </x:c>
      <x:c r="G54" s="22" t="str">
        <x:v>https://drive.google.com/file/d/15X3_uSbHztLL57IL_d3Xo9hc9zInJuyN/view</x:v>
      </x:c>
      <x:c r="H54" s="22" t="str">
        <x:v>android/app/src/main/AndroidManifest.xml; ios/Runner/Info.plist; https://support.google.com/googleplay/android-developer/answer/9799150?hl=en; https://developer.android.com/develop/background-work/services/fgs/service-types; audit/platform_review.md PL-10
Original source: https://drive.google.com/file/d/1CshVCQSVniVLcrD_P0He9olWV0jRsK5f/view?usp=drivesdk
https://drive.google.com/file/d/171_14QerVA_QQJxoY7pX9do6v_YMrT5c/view?usp=drivesdk</x:v>
      </x:c>
    </x:row>
    <x:row r="55" ht="174" customHeight="1">
      <x:c r="A55" s="22" t="str">
        <x:v>M050</x:v>
      </x:c>
      <x:c r="B55" s="22" t="str">
        <x:v>Core</x:v>
      </x:c>
      <x:c r="C55" s="22" t="str">
        <x:v>SDK privacy</x:v>
      </x:c>
      <x:c r="D55" s="22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E55" s="22" t="str">
        <x:v>No completion claimed by these increments. Original audit acceptance criteria remain applicable.</x:v>
      </x:c>
      <x:c r="F55" s="22" t="str">
        <x:v>No new completion claim in this increment.</x:v>
      </x:c>
      <x:c r="G55" s="22" t="str">
        <x:v>https://drive.google.com/file/d/15X3_uSbHztLL57IL_d3Xo9hc9zInJuyN/view</x:v>
      </x:c>
      <x:c r="H55" s="22" t="str">
        <x:v>ios/Podfile.lock; ios/Runner; pubspec.lock; audit/platform_review.md PL-10; https://developer.apple.com/documentation/bundleresources/privacy-manifest-files
Original source: https://drive.google.com/file/d/1Zkr32UrCgElDUhIuBrQVciYfKFsxCaZp/view?usp=drivesdk
https://drive.google.com/file/d/11FVzDpJjUtz-PxJtvaPmIsqcYDCZq3WC/view?usp=drivesdk</x:v>
      </x:c>
    </x:row>
    <x:row r="56" ht="174" customHeight="1">
      <x:c r="A56" s="22" t="str">
        <x:v>M051</x:v>
      </x:c>
      <x:c r="B56" s="22" t="str">
        <x:v>Core</x:v>
      </x:c>
      <x:c r="C56" s="22" t="str">
        <x:v>Operator continuity</x:v>
      </x:c>
      <x:c r="D56" s="22" t="str">
        <x:v>Approved handset/SIM/operator matrix covers dual-SIM, permission defaults, low coverage and 4G/VoLTE; track 2027-06-30 3G transition guidance without claiming USSD disappears; collector hardware choice is evidence-based.</x:v>
      </x:c>
      <x:c r="E56" s="22" t="str">
        <x:v>No completion claimed by these increments. Original audit acceptance criteria remain applicable.</x:v>
      </x:c>
      <x:c r="F56" s="22" t="str">
        <x:v>No new completion claim in this increment.</x:v>
      </x:c>
      <x:c r="G56" s="22" t="str">
        <x:v>https://drive.google.com/file/d/15X3_uSbHztLL57IL_d3Xo9hc9zInJuyN/view</x:v>
      </x:c>
      <x:c r="H56" s="22" t="str">
        <x:v>audit/platform_review.md device matrix; audit/privacy_review.md section 6; https://www.minict.gov.rw/news-detail/rwanda-to-switch-off-3g-networks-on-30-june-2027</x:v>
      </x:c>
    </x:row>
    <x:row r="57" ht="174" customHeight="1">
      <x:c r="A57" s="22" t="str">
        <x:v>M052</x:v>
      </x:c>
      <x:c r="B57" s="22" t="str">
        <x:v>Core</x:v>
      </x:c>
      <x:c r="C57" s="22" t="str">
        <x:v>Store readiness</x:v>
      </x:c>
      <x:c r="D57" s="22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E57" s="22" t="str">
        <x:v>No completion claimed by these increments. Original audit acceptance criteria remain applicable.</x:v>
      </x:c>
      <x:c r="F57" s="22" t="str">
        <x:v>No new completion claim in this increment.</x:v>
      </x:c>
      <x:c r="G57" s="22" t="str">
        <x:v>https://drive.google.com/file/d/15X3_uSbHztLL57IL_d3Xo9hc9zInJuyN/view</x:v>
      </x:c>
      <x:c r="H57" s="22" t="str">
        <x:v>ios/Runner/Info.plist; android/fastlane/metadata; docs/release; audit/platform_review.md PL-10; https://developer.apple.com/news/upcoming-requirements/
Original source: https://drive.google.com/drive/folders/1zahDeIbIAOW55lWawkAqajb_BhrPLZsg
https://drive.google.com/file/d/171_14QerVA_QQJxoY7pX9do6v_YMrT5c/view?usp=drivesdk</x:v>
      </x:c>
    </x:row>
    <x:row r="58" ht="174" customHeight="1">
      <x:c r="A58" s="22" t="str">
        <x:v>M053</x:v>
      </x:c>
      <x:c r="B58" s="22" t="str">
        <x:v>Core</x:v>
      </x:c>
      <x:c r="C58" s="22" t="str">
        <x:v>Startup resilience</x:v>
      </x:c>
      <x:c r="D58" s="22" t="str">
        <x:v>Airplane mode, slow DNS, captive portal and Firebase outage produce usable cached/retry states; mandatory configuration still fails closed; cold/warm release launch measurements meet agreed budget.</x:v>
      </x:c>
      <x:c r="E58" s="22" t="str">
        <x:v>No completion claimed by these increments. Original audit acceptance criteria remain applicable.</x:v>
      </x:c>
      <x:c r="F58" s="22" t="str">
        <x:v>No new completion claim in this increment.</x:v>
      </x:c>
      <x:c r="G58" s="22" t="str">
        <x:v>https://drive.google.com/file/d/15X3_uSbHztLL57IL_d3Xo9hc9zInJuyN/view</x:v>
      </x:c>
      <x:c r="H58" s="22" t="str">
        <x:v>lib/app/bootstrap.dart:39-160; lib/core/firebase/firebase_bootstrap_service.dart; firebase_remote_config_service.dart; audit/flutter_review.md FL-05
Original source: https://drive.google.com/file/d/1cmH3dI_QSwTvgj-22nU3q1Nb26915hjh/view?usp=drivesdk
https://drive.google.com/file/d/16rAbretfd1HwG3q_qLdo6WHrvbIB061u/view?usp=drivesdk</x:v>
      </x:c>
    </x:row>
    <x:row r="59" ht="174" customHeight="1">
      <x:c r="A59" s="22" t="str">
        <x:v>M054</x:v>
      </x:c>
      <x:c r="B59" s="22" t="str">
        <x:v>Core</x:v>
      </x:c>
      <x:c r="C59" s="22" t="str">
        <x:v>Request outcomes</x:v>
      </x:c>
      <x:c r="D59" s="22" t="str">
        <x:v>Read timeouts show recoverable unavailable states; writes retain operation identity and query status after response loss; no false payment-success label or blind duplicated mutation.</x:v>
      </x:c>
      <x:c r="E59" s="22" t="str">
        <x:v>No completion claimed by these increments. Original audit acceptance criteria remain applicable.</x:v>
      </x:c>
      <x:c r="F59" s="22" t="str">
        <x:v>No new completion claim in this increment.</x:v>
      </x:c>
      <x:c r="G59" s="22" t="str">
        <x:v>https://drive.google.com/file/d/15X3_uSbHztLL57IL_d3Xo9hc9zInJuyN/view</x:v>
      </x:c>
      <x:c r="H59" s="22" t="str">
        <x:v>lib/features/biopay/data/payment_discovery_service.dart:41-107; lib/features/bookings/data/trip_service.dart:138-145; audit/flutter_review.md FL-06
Original source: https://drive.google.com/file/d/1VUan_d6DaBvOdyaJaPwIUhYmYIVpNgfH/view?usp=drivesdk
https://drive.google.com/file/d/18TwBSLp6s-TqZ8Ny_zPOREtE7Ql13kn-/view?usp=drivesdk</x:v>
      </x:c>
    </x:row>
    <x:row r="60" ht="174" customHeight="1">
      <x:c r="A60" s="22" t="str">
        <x:v>M055</x:v>
      </x:c>
      <x:c r="B60" s="22" t="str">
        <x:v>Core</x:v>
      </x:c>
      <x:c r="C60" s="22" t="str">
        <x:v>Account-bound async work</x:v>
      </x:c>
      <x:c r="D60" s="22" t="str">
        <x:v>Delay A responses until after B signs in; no A profile/role/data changes B UI; rapid mode/search changes discard stale results and disposed work cannot restore listeners.</x:v>
      </x:c>
      <x:c r="E60" s="22" t="str">
        <x:v>No completion claimed by these increments. Original audit acceptance criteria remain applicable.</x:v>
      </x:c>
      <x:c r="F60" s="22" t="str">
        <x:v>No new completion claim in this increment.</x:v>
      </x:c>
      <x:c r="G60" s="22" t="str">
        <x:v>https://drive.google.com/file/d/15X3_uSbHztLL57IL_d3Xo9hc9zInJuyN/view</x:v>
      </x:c>
      <x:c r="H60" s="22" t="str">
        <x:v>lib/features/bookings/presentation/bookings_screen.dart:67-132; lib/features/profile/presentation/profile_screen.dart:77-114; lib/app/shell.dart:68-96; audit/flutter_review.md FL-07
Original source: https://drive.google.com/file/d/133jijD3OWgkiq8kvYppJsiGdn427lgiK/view?usp=drivesdk
https://drive.google.com/file/d/18urTvEQkxOoO54RdPEqF3hG6P_FLgWYX/view?usp=drivesdk</x:v>
      </x:c>
    </x:row>
    <x:row r="61" ht="174" customHeight="1">
      <x:c r="A61" s="22" t="str">
        <x:v>M056</x:v>
      </x:c>
      <x:c r="B61" s="22" t="str">
        <x:v>Core</x:v>
      </x:c>
      <x:c r="C61" s="22" t="str">
        <x:v>Location authority</x:v>
      </x:c>
      <x:c r="D61" s="22" t="str">
        <x:v>Concurrent start/stop/account changes cannot resurrect sharing; stale presence excluded on all surfaces; bounded radius/limit and coordinate precision follow purpose; denied/revoked permission marks unavailable/offline.</x:v>
      </x:c>
      <x:c r="E61" s="22" t="str">
        <x:v>Nearby RPC freshness/10km/50 cap and direct-read restriction body prepared; real DB/geospatial/load/device test pending.</x:v>
      </x:c>
      <x:c r="F61" s="22" t="str">
        <x:v>No new completion claim in this increment.</x:v>
      </x:c>
      <x:c r="G61" s="22" t="str">
        <x:v>https://drive.google.com/file/d/15X3_uSbHztLL57IL_d3Xo9hc9zInJuyN/view</x:v>
      </x:c>
      <x:c r="H61" s="22" t="str">
        <x:v>lib/features/nearby/data/driver_location_sharing_service.dart; supabase/migrations/20260915003031_harden_driver_discovery_identity.sql:5-102; audit/flutter_review.md FL-07; audit/backend_review.md B-07
Original source: https://drive.google.com/file/d/13WznvHZhWTofuAfvMnxlKTPdDtwfs6AX/view?usp=drivesdk
https://drive.google.com/file/d/1YxrFAODfP5TOTqAo9h72e7UZh8p2uEt5/view?usp=drivesdk</x:v>
      </x:c>
    </x:row>
    <x:row r="62" ht="174" customHeight="1">
      <x:c r="A62" s="22" t="str">
        <x:v>M057</x:v>
      </x:c>
      <x:c r="B62" s="22" t="str">
        <x:v>Face</x:v>
      </x:c>
      <x:c r="C62" s="22" t="str">
        <x:v>Truthful status</x:v>
      </x:c>
      <x:c r="D62" s="22" t="str">
        <x:v>Existing enrollment is never displayed as absent solely from service failure; loading, unavailable and approved cached state are distinct; retry and pause/remove recovery remain usable.</x:v>
      </x:c>
      <x:c r="E62" s="22" t="str">
        <x:v>Face-service outage represented as unavailable rather than not-started; Flutter UI runtime test pending.</x:v>
      </x:c>
      <x:c r="F62" s="22" t="str">
        <x:v>No new completion claim in this increment.</x:v>
      </x:c>
      <x:c r="G62" s="22" t="str">
        <x:v>https://drive.google.com/file/d/15X3_uSbHztLL57IL_d3Xo9hc9zInJuyN/view</x:v>
      </x:c>
      <x:c r="H62" s="22" t="str">
        <x:v>lib/features/profile/presentation/profile_screen.dart:89-108,371-374,547-557; audit/flutter_review.md FL-08
Original source: https://drive.google.com/file/d/18urTvEQkxOoO54RdPEqF3hG6P_FLgWYX/view?usp=drivesdk</x:v>
      </x:c>
    </x:row>
    <x:row r="63" ht="174" customHeight="1">
      <x:c r="A63" s="22" t="str">
        <x:v>M058</x:v>
      </x:c>
      <x:c r="B63" s="22" t="str">
        <x:v>Core</x:v>
      </x:c>
      <x:c r="C63" s="22" t="str">
        <x:v>Launch localization</x:v>
      </x:c>
      <x:c r="D63" s="22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E63" s="22" t="str">
        <x:v>No completion claimed by these increments. Original audit acceptance criteria remain applicable.</x:v>
      </x:c>
      <x:c r="F63" s="22" t="str">
        <x:v>No new completion claim in this increment.</x:v>
      </x:c>
      <x:c r="G63" s="22" t="str">
        <x:v>https://drive.google.com/file/d/15X3_uSbHztLL57IL_d3Xo9hc9zInJuyN/view</x:v>
      </x:c>
      <x:c r="H63" s="22" t="str">
        <x:v>lib/l10n/app_en.arb; app_rw.arb; app_fr.arb; audit/flutter_review.md FL-11
Original source: https://drive.google.com/file/d/1mjt5bSDzInV-jUfGUJohw56KAzStbtix/view?usp=drivesdk</x:v>
      </x:c>
    </x:row>
    <x:row r="64" ht="174" customHeight="1">
      <x:c r="A64" s="22" t="str">
        <x:v>M059</x:v>
      </x:c>
      <x:c r="B64" s="22" t="str">
        <x:v>Core</x:v>
      </x:c>
      <x:c r="C64" s="22" t="str">
        <x:v>Secondary localization</x:v>
      </x:c>
      <x:c r="D64" s="22" t="str">
        <x:v>Inventory of remaining hardcoded user-facing copy closed or explicitly deferred; each supported locale has reviewed plural/date/currency behavior and screenshots without truncation.</x:v>
      </x:c>
      <x:c r="E64" s="22" t="str">
        <x:v>No completion claimed by these increments. Original audit acceptance criteria remain applicable.</x:v>
      </x:c>
      <x:c r="F64" s="22" t="str">
        <x:v>No new completion claim in this increment.</x:v>
      </x:c>
      <x:c r="G64" s="22" t="str">
        <x:v>https://drive.google.com/file/d/15X3_uSbHztLL57IL_d3Xo9hc9zInJuyN/view</x:v>
      </x:c>
      <x:c r="H64" s="22" t="str">
        <x:v>lib/features/admin; lib/features/profile; lib/features/chat; audit/flutter_review.md FL-11
Original source: https://drive.google.com/drive/folders/15N84L16_NCXcIFP2MilU6QMZYOKFGKzW
https://drive.google.com/drive/folders/1AP0sh5lM_wR9WyxxdJKAUc9m0djWf3Fs</x:v>
      </x:c>
    </x:row>
    <x:row r="65" ht="174" customHeight="1">
      <x:c r="A65" s="22" t="str">
        <x:v>M060</x:v>
      </x:c>
      <x:c r="B65" s="22" t="str">
        <x:v>Core</x:v>
      </x:c>
      <x:c r="C65" s="22" t="str">
        <x:v>Accessibility</x:v>
      </x:c>
      <x:c r="D65" s="22" t="str">
        <x:v>TalkBack/VoiceOver, keyboard, 200% text, contrast/touch targets, focus, error announcements and reduced motion pass across accepted journeys and screen sizes; intended automatic handoff is clearly announced.</x:v>
      </x:c>
      <x:c r="E65" s="22" t="str">
        <x:v>No completion claimed by these increments. Original audit acceptance criteria remain applicable.</x:v>
      </x:c>
      <x:c r="F65" s="22" t="str">
        <x:v>No new completion claim in this increment.</x:v>
      </x:c>
      <x:c r="G65" s="22" t="str">
        <x:v>https://drive.google.com/file/d/15X3_uSbHztLL57IL_d3Xo9hc9zInJuyN/view</x:v>
      </x:c>
      <x:c r="H65" s="22" t="str">
        <x:v>design.md; test accessibility/semantics suites; audit/flutter_review.md Accessibility section; https://docs.flutter.dev/ui/accessibility
Original source: https://drive.google.com/file/d/1MDlUp2tylgWDZ1AfN4ssXDOKSvLkdN5-/view?usp=drivesdk</x:v>
      </x:c>
    </x:row>
    <x:row r="66" ht="174" customHeight="1">
      <x:c r="A66" s="22" t="str">
        <x:v>M061</x:v>
      </x:c>
      <x:c r="B66" s="22" t="str">
        <x:v>Core</x:v>
      </x:c>
      <x:c r="C66" s="22" t="str">
        <x:v>Chat reliability</x:v>
      </x:c>
      <x:c r="D66" s="22" t="str">
        <x:v>Lost acknowledgement/retry and restart yield one message; draft remains owner-scoped; reconnect recovery works; cursor pagination preserves ordering for conversations over 100 messages when full history is promised.</x:v>
      </x:c>
      <x:c r="E66" s="22" t="str">
        <x:v>No completion claimed by these increments. Original audit acceptance criteria remain applicable.</x:v>
      </x:c>
      <x:c r="F66" s="22" t="str">
        <x:v>No new completion claim in this increment.</x:v>
      </x:c>
      <x:c r="G66" s="22" t="str">
        <x:v>https://drive.google.com/file/d/15X3_uSbHztLL57IL_d3Xo9hc9zInJuyN/view</x:v>
      </x:c>
      <x:c r="H66" s="22" t="str">
        <x:v>lib/features/chat/data/chat_service.dart:193-221,306-347; lib/features/chat/presentation/chat_screen.dart; audit/flutter_review.md FL-12
Original source: https://drive.google.com/file/d/12n5FHLFgRu9NPOsRAb9HFFgWAIIaol3b/view?usp=drivesdk
https://drive.google.com/file/d/1BrgbaLACv8-s6Hop1vdwBt8E9gvQ61E_/view?usp=drivesdk</x:v>
      </x:c>
    </x:row>
    <x:row r="67" ht="174" customHeight="1">
      <x:c r="A67" s="22" t="str">
        <x:v>M062</x:v>
      </x:c>
      <x:c r="B67" s="22" t="str">
        <x:v>Core</x:v>
      </x:c>
      <x:c r="C67" s="22" t="str">
        <x:v>Operational switches</x:v>
      </x:c>
      <x:c r="D67" s="22" t="str">
        <x:v>Already-running clients respond to scoped suspension; server rejects affected writes; manual/QR/read-only recovery remains as approved; expiry/rollback and operator ownership are tested.</x:v>
      </x:c>
      <x:c r="E67" s="22" t="str">
        <x:v>No completion claimed by these increments. Original audit acceptance criteria remain applicable.</x:v>
      </x:c>
      <x:c r="F67" s="22" t="str">
        <x:v>No new completion claim in this increment.</x:v>
      </x:c>
      <x:c r="G67" s="22" t="str">
        <x:v>https://drive.google.com/file/d/15X3_uSbHztLL57IL_d3Xo9hc9zInJuyN/view</x:v>
      </x:c>
      <x:c r="H67" s="22" t="str">
        <x:v>lib/core/firebase/firebase_remote_config_service.dart:51-58,94-97; audit/flutter_review.md FL-14; docs/operations/face-ussd-runbook.md
Original source: https://drive.google.com/file/d/1ktk89YYNARL-mxcs3U1Z1AN7_BBX3CZS/view?usp=drivesdk
https://drive.google.com/file/d/1vZVjzSVzBGDPvEDyH5wTO996VJbSCDGt/view?usp=drivesdk</x:v>
      </x:c>
    </x:row>
    <x:row r="68" ht="174" customHeight="1">
      <x:c r="A68" s="22" t="str">
        <x:v>M063</x:v>
      </x:c>
      <x:c r="B68" s="22" t="str">
        <x:v>Core</x:v>
      </x:c>
      <x:c r="C68" s="22" t="str">
        <x:v>Maintainability</x:v>
      </x:c>
      <x:c r="D68" s="22" t="str">
        <x:v>Typed person/trip/member-ID and RPC outcome contracts replace lossy seams; changed workflows have focused tests; preserve Riverpod/GoRouter and avoid an unrelated framework rewrite.</x:v>
      </x:c>
      <x:c r="E68" s="22" t="str">
        <x:v>No completion claimed by these increments. Original audit acceptance criteria remain applicable.</x:v>
      </x:c>
      <x:c r="F68" s="22" t="str">
        <x:v>No new completion claim in this increment.</x:v>
      </x:c>
      <x:c r="G68" s="22" t="str">
        <x:v>https://drive.google.com/file/d/15X3_uSbHztLL57IL_d3Xo9hc9zInJuyN/view</x:v>
      </x:c>
      <x:c r="H68" s="22" t="str">
        <x:v>packages/shared-types/lib/models/trip.dart:18-130; lib/features/profile/presentation/wallet_screen.dart; audit/flutter_review.md FL-15; https://docs.flutter.dev/app-architecture/recommendations
Original source: https://drive.google.com/file/d/1LlppucPRV_7Kpp3kh07UDhWL39XAPyVI/view?usp=drivesdk
https://drive.google.com/file/d/1o98InGRT4t8lKLoSczaM3cwtbKewfLj1/view?usp=drivesdk</x:v>
      </x:c>
    </x:row>
    <x:row r="69" ht="174" customHeight="1">
      <x:c r="A69" s="22" t="str">
        <x:v>M064</x:v>
      </x:c>
      <x:c r="B69" s="22" t="str">
        <x:v>Core</x:v>
      </x:c>
      <x:c r="C69" s="22" t="str">
        <x:v>Mobile performance</x:v>
      </x:c>
      <x:c r="D69" s="22" t="str">
        <x:v>Representative lower-cost Android and iPhone reports include configuration and p50/p95; accepted budgets cover startup, jank, memory, upload size, battery/network and admin lists; optimize only demonstrated bottlenecks.</x:v>
      </x:c>
      <x:c r="E69" s="22" t="str">
        <x:v>No completion claimed by these increments. Original audit acceptance criteria remain applicable.</x:v>
      </x:c>
      <x:c r="F69" s="22" t="str">
        <x:v>No new completion claim in this increment.</x:v>
      </x:c>
      <x:c r="G69" s="22" t="str">
        <x:v>https://drive.google.com/file/d/15X3_uSbHztLL57IL_d3Xo9hc9zInJuyN/view</x:v>
      </x:c>
      <x:c r="H69" s="22" t="str">
        <x:v>audit/flutter_review.md performance section; audit/platform_review.md device matrix; https://docs.flutter.dev/perf/best-practices</x:v>
      </x:c>
    </x:row>
    <x:row r="70" ht="174" customHeight="1">
      <x:c r="A70" s="22" t="str">
        <x:v>M065</x:v>
      </x:c>
      <x:c r="B70" s="22" t="str">
        <x:v>Core</x:v>
      </x:c>
      <x:c r="C70" s="22" t="str">
        <x:v>Privacy inventory and notices</x:v>
      </x:c>
      <x:c r="D70" s="22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E70" s="22" t="str">
        <x:v>No completion claimed by these increments. Original audit acceptance criteria remain applicable.</x:v>
      </x:c>
      <x:c r="F70" s="22" t="str">
        <x:v>No new completion claim in this increment.</x:v>
      </x:c>
      <x:c r="G70" s="22" t="str">
        <x:v>https://drive.google.com/file/d/15X3_uSbHztLL57IL_d3Xo9hc9zInJuyN/view</x:v>
      </x:c>
      <x:c r="H70" s="22" t="str">
        <x:v>landing/privacy-policy.html; landing/terms-and-conditions.html; landing/account-deletion.html; docs/compliance/data-inventory.md; audit/privacy_review.md PRIV-01,PRIV-06
Original source: https://drive.google.com/file/d/1zQH0mmbadmfJtnEBxNkyZUnkm3Uv2LQJ/view?usp=drivesdk
https://drive.google.com/file/d/1cjZLmcOWDsYYYP_-f0mYAFww9QnZ4OHp/view?usp=drivesdk</x:v>
      </x:c>
    </x:row>
    <x:row r="71" ht="174" customHeight="1">
      <x:c r="A71" s="22" t="str">
        <x:v>M066</x:v>
      </x:c>
      <x:c r="B71" s="22" t="str">
        <x:v>Core</x:v>
      </x:c>
      <x:c r="C71" s="22" t="str">
        <x:v>Governance evidence</x:v>
      </x:c>
      <x:c r="D71" s="22" t="str">
        <x:v>Current official requirements and entity applicability checked; certificate/expiry/conditions and DPO appointment/contact documented; outstanding conditions have owners and affected-feature decisions.</x:v>
      </x:c>
      <x:c r="E71" s="22" t="str">
        <x:v>No completion claimed by these increments. Original audit acceptance criteria remain applicable.</x:v>
      </x:c>
      <x:c r="F71" s="22" t="str">
        <x:v>No new completion claim in this increment.</x:v>
      </x:c>
      <x:c r="G71" s="22" t="str">
        <x:v>https://drive.google.com/file/d/15X3_uSbHztLL57IL_d3Xo9hc9zInJuyN/view</x:v>
      </x:c>
      <x:c r="H71" s="22" t="str">
        <x:v>audit/privacy_review.md section 1; https://cyber.gov.rw/fileadmin/user_upload/NCSA/Documents/Laws/OG_Special_of_15.10.2021_Amakuru_bwite.pdf; https://www.risa.gov.rw/data-protection-and-privacy-law</x:v>
      </x:c>
    </x:row>
    <x:row r="72" ht="174" customHeight="1">
      <x:c r="A72" s="22" t="str">
        <x:v>M067</x:v>
      </x:c>
      <x:c r="B72" s="22" t="str">
        <x:v>Face</x:v>
      </x:c>
      <x:c r="C72" s="22" t="str">
        <x:v>Impact assessment</x:v>
      </x:c>
      <x:c r="D72" s="22" t="str">
        <x:v>Document actual no-liveness lookup purpose, consent/withdrawal, false-match risk, unknown persons, retention, security and alternatives; approve residual risk before affected feature activation.</x:v>
      </x:c>
      <x:c r="E72" s="22" t="str">
        <x:v>No completion claimed by these increments. Original audit acceptance criteria remain applicable.</x:v>
      </x:c>
      <x:c r="F72" s="22" t="str">
        <x:v>No new completion claim in this increment.</x:v>
      </x:c>
      <x:c r="G72" s="22" t="str">
        <x:v>https://drive.google.com/file/d/15X3_uSbHztLL57IL_d3Xo9hc9zInJuyN/view</x:v>
      </x:c>
      <x:c r="H72" s="22" t="str">
        <x:v>docs/product/face-ussd-20260920/APPROVAL.md; audit/privacy_review.md section 1 and PR-T03; https://www.risa.gov.rw/data-protection-and-privacy-law
Original source: https://drive.google.com/file/d/1Ql7MVmCXqbgiB8DwU11kDXAjNmRtYF-k/view?usp=drivesdk</x:v>
      </x:c>
    </x:row>
    <x:row r="73" ht="174" customHeight="1">
      <x:c r="A73" s="22" t="str">
        <x:v>M068</x:v>
      </x:c>
      <x:c r="B73" s="22" t="str">
        <x:v>Core</x:v>
      </x:c>
      <x:c r="C73" s="22" t="str">
        <x:v>Processors and data location</x:v>
      </x:c>
      <x:c r="D73" s="22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E73" s="22" t="str">
        <x:v>No completion claimed by these increments. Original audit acceptance criteria remain applicable.</x:v>
      </x:c>
      <x:c r="F73" s="22" t="str">
        <x:v>No new completion claim in this increment.</x:v>
      </x:c>
      <x:c r="G73" s="22" t="str">
        <x:v>https://drive.google.com/file/d/15X3_uSbHztLL57IL_d3Xo9hc9zInJuyN/view</x:v>
      </x:c>
      <x:c r="H73" s="22" t="str">
        <x:v>audit/privacy_review.md section 3; https://developers.cloudflare.com/data-localization/compatibility/; https://developers.cloudflare.com/containers/concepts/placement/; https://supabase.com/docs/guides/platform/regions
Original source: https://drive.google.com/drive/folders/1IOYNDX1ALDVg9Mx6zXM1yZe8HP0xl7CG
https://drive.google.com/drive/folders/1VeEGNOl32YcDgwjU7FZhqwcj_7Vyqy6c</x:v>
      </x:c>
    </x:row>
    <x:row r="74" ht="174" customHeight="1">
      <x:c r="A74" s="22" t="str">
        <x:v>M069</x:v>
      </x:c>
      <x:c r="B74" s="22" t="str">
        <x:v>Core</x:v>
      </x:c>
      <x:c r="C74" s="22" t="str">
        <x:v>Account deletion</x:v>
      </x:c>
      <x:c r="D74" s="22" t="str">
        <x:v>Synthetic account deletion covers Auth sessions, SQL, Storage, push, vectors and applicable analytics; retries and legal retention exceptions tracked; in-app and web initiation/status work without hidden manual-only steps.</x:v>
      </x:c>
      <x:c r="E74" s="22" t="str">
        <x:v>No completion claimed by these increments. Original audit acceptance criteria remain applicable.</x:v>
      </x:c>
      <x:c r="F74" s="22" t="str">
        <x:v>No new completion claim in this increment.</x:v>
      </x:c>
      <x:c r="G74" s="22" t="str">
        <x:v>https://drive.google.com/file/d/15X3_uSbHztLL57IL_d3Xo9hc9zInJuyN/view</x:v>
      </x:c>
      <x:c r="H74" s="22" t="str">
        <x:v>lib/features/profile/presentation/profile_screen.dart; landing/account-deletion.html; audit/backend_review.md B-13; audit/flutter_review.md FL-09; audit/privacy_review.md PRIV-04
Original source: https://drive.google.com/file/d/18urTvEQkxOoO54RdPEqF3hG6P_FLgWYX/view?usp=drivesdk
https://drive.google.com/file/d/1cwyLRfUildTAHReym4ReNQOWDOGYNq7K/view?usp=drivesdk</x:v>
      </x:c>
    </x:row>
    <x:row r="75" ht="174" customHeight="1">
      <x:c r="A75" s="22" t="str">
        <x:v>M070</x:v>
      </x:c>
      <x:c r="B75" s="22" t="str">
        <x:v>Core</x:v>
      </x:c>
      <x:c r="C75" s="22" t="str">
        <x:v>Retention and requests</x:v>
      </x:c>
      <x:c r="D75" s="22" t="str">
        <x:v>Approve periods, triggers, exceptions, backup treatment and purge owners. Within 30 days of request receipt, provide written/electronic substantive erasure notification under applicable rules; acknowledgement alone is insufficient. Verify completed deletion or justified retained-data decisions, staging purges and deletion replay after restore.</x:v>
      </x:c>
      <x:c r="E75" s="22" t="str">
        <x:v>No completion claimed by these increments. Original audit acceptance criteria remain applicable.</x:v>
      </x:c>
      <x:c r="F75" s="22" t="str">
        <x:v>No new completion claim in this increment.</x:v>
      </x:c>
      <x:c r="G75" s="22" t="str">
        <x:v>https://drive.google.com/file/d/15X3_uSbHztLL57IL_d3Xo9hc9zInJuyN/view</x:v>
      </x:c>
      <x:c r="H75" s="22" t="str">
        <x:v>docs/compliance/data-inventory.md; landing/account-deletion.html; audit/privacy_review.md PRIV-05,PRIV-07; Rwanda Law 058/2021 Arts 23,52
Original source: https://drive.google.com/file/d/1cjZLmcOWDsYYYP_-f0mYAFww9QnZ4OHp/view?usp=drivesdk
https://drive.google.com/file/d/1cwyLRfUildTAHReym4ReNQOWDOGYNq7K/view?usp=drivesdk</x:v>
      </x:c>
    </x:row>
    <x:row r="76" ht="174" customHeight="1">
      <x:c r="A76" s="22" t="str">
        <x:v>M071</x:v>
      </x:c>
      <x:c r="B76" s="22" t="str">
        <x:v>Face</x:v>
      </x:c>
      <x:c r="C76" s="22" t="str">
        <x:v>Retired AWS resources</x:v>
      </x:c>
      <x:c r="D76" s="22" t="str">
        <x:v>Read-only account/resource inventory and owner decision; separately authorized named-resource deletion/key retirement receipts; no active AWS fallback and no unrelated shared resource loss.</x:v>
      </x:c>
      <x:c r="E76" s="22" t="str">
        <x:v>No completion claimed by these increments. Original audit acceptance criteria remain applicable.</x:v>
      </x:c>
      <x:c r="F76" s="22" t="str">
        <x:v>No new completion claim in this increment.</x:v>
      </x:c>
      <x:c r="G76" s="22" t="str">
        <x:v>https://drive.google.com/file/d/15X3_uSbHztLL57IL_d3Xo9hc9zInJuyN/view</x:v>
      </x:c>
      <x:c r="H76" s="22" t="str">
        <x:v>docs/operations/face-ussd-runbook.md; audit/privacy_review.md PRIV-12; audit/operations_review.md O21
Original source: https://drive.google.com/file/d/1vZVjzSVzBGDPvEDyH5wTO996VJbSCDGt/view?usp=drivesdk</x:v>
      </x:c>
    </x:row>
    <x:row r="77" ht="174" customHeight="1">
      <x:c r="A77" s="22" t="str">
        <x:v>M072</x:v>
      </x:c>
      <x:c r="B77" s="22" t="str">
        <x:v>Core</x:v>
      </x:c>
      <x:c r="C77" s="22" t="str">
        <x:v>Age boundaries</x:v>
      </x:c>
      <x:c r="D77" s="22" t="str">
        <x:v>Consistent per-role policy and proportionate declaration/restriction; underage reports and applicable guardian handling documented; no unnecessary identity-document collection introduced.</x:v>
      </x:c>
      <x:c r="E77" s="22" t="str">
        <x:v>No completion claimed by these increments. Original audit acceptance criteria remain applicable.</x:v>
      </x:c>
      <x:c r="F77" s="22" t="str">
        <x:v>No new completion claim in this increment.</x:v>
      </x:c>
      <x:c r="G77" s="22" t="str">
        <x:v>https://drive.google.com/file/d/15X3_uSbHztLL57IL_d3Xo9hc9zInJuyN/view</x:v>
      </x:c>
      <x:c r="H77" s="22" t="str">
        <x:v>landing/terms-and-conditions.html; landing/privacy-policy.html; audit/privacy_review.md PRIV-11; Rwanda Law 058/2021 Art 9
Original source: https://drive.google.com/file/d/1zQH0mmbadmfJtnEBxNkyZUnkm3Uv2LQJ/view?usp=drivesdk
https://drive.google.com/file/d/1QOqPjNkyg8GlrM5Nmh1pLQlqLHpKHeTY/view?usp=drivesdk</x:v>
      </x:c>
    </x:row>
    <x:row r="78" ht="174" customHeight="1">
      <x:c r="A78" s="22" t="str">
        <x:v>M073</x:v>
      </x:c>
      <x:c r="B78" s="22" t="str">
        <x:v>Core</x:v>
      </x:c>
      <x:c r="C78" s="22" t="str">
        <x:v>WhatsApp operating contract</x:v>
      </x:c>
      <x:c r="D78" s="22" t="str">
        <x:v>Approved WABA/number/template/category/language/components and supported Graph version recorded; real device delivery/resend/expired-code/outage recovery tested; campaign opt-out suppresses future promotional sends.</x:v>
      </x:c>
      <x:c r="E78" s="22" t="str">
        <x:v>No completion claimed by these increments. Original audit acceptance criteria remain applicable.</x:v>
      </x:c>
      <x:c r="F78" s="22" t="str">
        <x:v>No new completion claim in this increment.</x:v>
      </x:c>
      <x:c r="G78" s="22" t="str">
        <x:v>https://drive.google.com/file/d/15X3_uSbHztLL57IL_d3Xo9hc9zInJuyN/view</x:v>
      </x:c>
      <x:c r="H78" s="22" t="str">
        <x:v>supabase/functions/_shared/whatsapp-cloud.ts; audit/privacy_review.md sections 4, PRIV-10; https://whatsappbusiness.com/policy/; https://whatsappbusiness.com/products/conversation-categories/authentication/
Original source: https://drive.google.com/file/d/12qJwdf1UXnXqeY3d1I9ttnFYZhMZ77pT/view?usp=drivesdk</x:v>
      </x:c>
    </x:row>
    <x:row r="79" ht="174" customHeight="1">
      <x:c r="A79" s="22" t="str">
        <x:v>M074</x:v>
      </x:c>
      <x:c r="B79" s="22" t="str">
        <x:v>Core</x:v>
      </x:c>
      <x:c r="C79" s="22" t="str">
        <x:v>CI correctness</x:v>
      </x:c>
      <x:c r="D79" s="22" t="str">
        <x:v>Actual source pin gate exits zero; valid local fixture passes and tagged/unpinned remote fixtures fail; parser distinguishes reusable workflow and remote action syntax.</x:v>
      </x:c>
      <x:c r="E79" s="22" t="str">
        <x:v>Actions pin checker repaired and 29 source/fixture tests plus repo check pass; remote CI run pending.</x:v>
      </x:c>
      <x:c r="F79" s="22" t="str">
        <x:v>No new completion claim in this increment.</x:v>
      </x:c>
      <x:c r="G79" s="22" t="str">
        <x:v>https://drive.google.com/file/d/15X3_uSbHztLL57IL_d3Xo9hc9zInJuyN/view</x:v>
      </x:c>
      <x:c r="H79" s="22" t="str">
        <x:v>scripts/ci/check_github_actions_pinned.sh:12-17; .github/workflows/cloudflare-pages.yml:18; audit/operations_review.md OPS-01; audit/operations_validation.json
Original source: https://drive.google.com/file/d/1At2ltdJVK8kpZQsV92HybbTqStAYqLvs/view?usp=drivesdk
https://drive.google.com/file/d/1-OxjhMZxQ5KAMfLShQpBK7KFY4hhAwk_/view?usp=drivesdk</x:v>
      </x:c>
    </x:row>
    <x:row r="80" ht="174" customHeight="1">
      <x:c r="A80" s="22" t="str">
        <x:v>M075</x:v>
      </x:c>
      <x:c r="B80" s="22" t="str">
        <x:v>Core</x:v>
      </x:c>
      <x:c r="C80" s="22" t="str">
        <x:v>Release gate truth</x:v>
      </x:c>
      <x:c r="D80" s="22" t="str">
        <x:v>Production invocation rejects disabling mandatory child checks; pass/failed/skipped/unavailable have distinct status; Android/PWA/services promotion requires all applicable gates for one exact artifact.</x:v>
      </x:c>
      <x:c r="E80" s="22" t="str">
        <x:v>Integrated gate rejects disabled/invalid required checks; fixture tests pass; promotion workflow execution pending.</x:v>
      </x:c>
      <x:c r="F80" s="22" t="str">
        <x:v>No new completion claim in this increment.</x:v>
      </x:c>
      <x:c r="G80" s="22" t="str">
        <x:v>https://drive.google.com/file/d/15X3_uSbHztLL57IL_d3Xo9hc9zInJuyN/view</x:v>
      </x:c>
      <x:c r="H80" s="22" t="str">
        <x:v>scripts/qa/verify_mobio_feature_readiness.sh; scripts/release/go_no_go_check.sh; .github/workflows; audit/validation_review.md IV-06; audit/operations_review.md OPS-02
Original source: https://drive.google.com/file/d/1MjilpuX-zUbut_W8msIPYSkYByKKEDyS/view?usp=drivesdk
https://drive.google.com/file/d/1yPZR9Gs5lDexBEVawYsye7XvWWZ4NvAj/view?usp=drivesdk</x:v>
      </x:c>
    </x:row>
    <x:row r="81" ht="174" customHeight="1">
      <x:c r="A81" s="22" t="str">
        <x:v>M076</x:v>
      </x:c>
      <x:c r="B81" s="22" t="str">
        <x:v>Core</x:v>
      </x:c>
      <x:c r="C81" s="22" t="str">
        <x:v>Visual acceptance</x:v>
      </x:c>
      <x:c r="D81" s="22" t="str">
        <x:v>Each difference classified as intended or regression; only reviewed baselines change; complete suite including reference goldens passes on pinned toolchain with revision-linked results.</x:v>
      </x:c>
      <x:c r="E81" s="22" t="str">
        <x:v>No completion claimed by these increments. Original audit acceptance criteria remain applicable.</x:v>
      </x:c>
      <x:c r="F81" s="22" t="str">
        <x:v>No new completion claim in this increment.</x:v>
      </x:c>
      <x:c r="G81" s="22" t="str">
        <x:v>https://drive.google.com/file/d/15X3_uSbHztLL57IL_d3Xo9hc9zInJuyN/view</x:v>
      </x:c>
      <x:c r="H81" s="22" t="str">
        <x:v>docs/product/face-ussd-20260920/IMPLEMENTATION_REPORT.md; test reference golden suite; .github/workflows/ci.yml; audit/operations_review.md OPS-11
Original source: https://drive.google.com/file/d/13toaULZ0qSRF3mcOySrbey9WeHRMSidj/view?usp=drivesdk
https://drive.google.com/file/d/1M2OuVXPXNwY34djuk7wjKwcYCIb6BUUv/view?usp=drivesdk</x:v>
      </x:c>
    </x:row>
    <x:row r="82" ht="174" customHeight="1">
      <x:c r="A82" s="22" t="str">
        <x:v>M077</x:v>
      </x:c>
      <x:c r="B82" s="22" t="str">
        <x:v>Core</x:v>
      </x:c>
      <x:c r="C82" s="22" t="str">
        <x:v>Coverage in CI</x:v>
      </x:c>
      <x:c r="D82" s="22" t="str">
        <x:v>Flutter/Deno/Node/Python, real Linux image/model smoke, Android bridge unit/component and native release jobs run on applicable changes; a deliberate regression in each implementation blocks promotion.</x:v>
      </x:c>
      <x:c r="E82" s="22" t="str">
        <x:v>Native collector QA compilation/JUnit/package-isolation job and portable SQLite/JVM checks added to CI. Local portable tests pass; hosted CI and Android build have not run.</x:v>
      </x:c>
      <x:c r="F82" s="22" t="str">
        <x:v>New 86 Node tests and 28 Python operational/applier/source checks are wired into the existing CI workflow. Hosted CI not run.</x:v>
      </x:c>
      <x:c r="G82" s="22" t="str">
        <x:v>https://drive.google.com/file/d/15X3_uSbHztLL57IL_d3Xo9hc9zInJuyN/view</x:v>
      </x:c>
      <x:c r="H82" s="22" t="str">
        <x:v>cloudflare/face-service; services/face-inference; apps/momobio_sms_bridge; .github/workflows; audit/operations_review.md OPS-03
Original source: https://drive.google.com/drive/folders/19o_yD0w45xyCjxqocqBX8S9_0aHuBfgO
https://drive.google.com/drive/folders/11tIJA6XGeIAUuubqLpB4LNw2zwvt1qXT</x:v>
      </x:c>
    </x:row>
    <x:row r="83" ht="174" customHeight="1">
      <x:c r="A83" s="22" t="str">
        <x:v>M078</x:v>
      </x:c>
      <x:c r="B83" s="22" t="str">
        <x:v>Core</x:v>
      </x:c>
      <x:c r="C83" s="22" t="str">
        <x:v>Database rehearsal</x:v>
      </x:c>
      <x:c r="D83" s="22" t="str">
        <x:v>Clean reset and sanitized production-like upgrade succeed; effective functions/policies/grants/extensions/jobs diff to intended state; constraints and data reconciliation pass; rollback/forward-repair plan reviewed.</x:v>
      </x:c>
      <x:c r="E83" s="22" t="str">
        <x:v>Ordered migration preparer, manifest and post-install assertions implemented; PostgreSQL/Supabase rehearsal pending.</x:v>
      </x:c>
      <x:c r="F83" s="22" t="str">
        <x:v>Seventh forward SQL body, manifest, post-install assertions and guarded PostgreSQL17 component/concurrency runner supplied; runtime unavailable.</x:v>
      </x:c>
      <x:c r="G83" s="22" t="str">
        <x:v>https://drive.google.com/file/d/15X3_uSbHztLL57IL_d3Xo9hc9zInJuyN/view</x:v>
      </x:c>
      <x:c r="H83" s="22" t="str">
        <x:v>supabase/migrations; audit/backend_effective_functions_static.json; audit/backend_review.md B-T09; audit/validation_review.md execution limits
Original source: https://drive.google.com/drive/folders/1HA6rpjdCjYgaKurjtxuEgkL6y1DJRuU7</x:v>
      </x:c>
    </x:row>
    <x:row r="84" ht="174" customHeight="1">
      <x:c r="A84" s="22" t="str">
        <x:v>M079</x:v>
      </x:c>
      <x:c r="B84" s="22" t="str">
        <x:v>Core</x:v>
      </x:c>
      <x:c r="C84" s="22" t="str">
        <x:v>Adversarial authorization</x:v>
      </x:c>
      <x:c r="D84" s="22" t="str">
        <x:v>Anonymous, expired/revoked, passenger, driver, owner/nonowner, admin-purpose and service roles tested through real interfaces; identity, direct-update, concurrency, replay and cross-tenant negatives pass.</x:v>
      </x:c>
      <x:c r="E84" s="22" t="str">
        <x:v>Adversarial fixtures added, but live database/Auth/PostgREST authorization matrix pending.</x:v>
      </x:c>
      <x:c r="F84" s="22" t="str">
        <x:v>Service-only queue grants and catalog probes added to the existing authorization work. No real user-role matrix executed.</x:v>
      </x:c>
      <x:c r="G84" s="22" t="str">
        <x:v>https://drive.google.com/file/d/15X3_uSbHztLL57IL_d3Xo9hc9zInJuyN/view</x:v>
      </x:c>
      <x:c r="H84" s="22" t="str">
        <x:v>audit/validation_review.md; audit/backend_review.md; supabase/functions; supabase/migrations
Original source: https://drive.google.com/drive/folders/1HA6rpjdCjYgaKurjtxuEgkL6y1DJRuU7
https://drive.google.com/drive/folders/1l5OIu5zSjUzWrwkfS9W9cBN2ocmKUI07</x:v>
      </x:c>
    </x:row>
    <x:row r="85" ht="174" customHeight="1">
      <x:c r="A85" s="22" t="str">
        <x:v>M080</x:v>
      </x:c>
      <x:c r="B85" s="22" t="str">
        <x:v>Core</x:v>
      </x:c>
      <x:c r="C85" s="22" t="str">
        <x:v>Production controls</x:v>
      </x:c>
      <x:c r="D85" s="22" t="str">
        <x:v>Current branch/environment rules, required checks, reviewer separation and secret scope recorded for actual repository/account plan; least-privilege deployment roles and emergency path tested without publishing.</x:v>
      </x:c>
      <x:c r="E85" s="22" t="str">
        <x:v>No completion claimed by these increments. Original audit acceptance criteria remain applicable.</x:v>
      </x:c>
      <x:c r="F85" s="22" t="str">
        <x:v>No new completion claim in this increment.</x:v>
      </x:c>
      <x:c r="G85" s="22" t="str">
        <x:v>https://drive.google.com/file/d/15X3_uSbHztLL57IL_d3Xo9hc9zInJuyN/view</x:v>
      </x:c>
      <x:c r="H85" s="22" t="str">
        <x:v>audit/operations_review.md O14; .github/workflows; audit/git_metadata provenance
Original source: https://drive.google.com/drive/folders/1Do2o7oLKmnkMMkm4NtPTCchKEN_zu4tK</x:v>
      </x:c>
    </x:row>
    <x:row r="86" ht="174" customHeight="1">
      <x:c r="A86" s="22" t="str">
        <x:v>M081</x:v>
      </x:c>
      <x:c r="B86" s="22" t="str">
        <x:v>Core</x:v>
      </x:c>
      <x:c r="C86" s="22" t="str">
        <x:v>Release evidence</x:v>
      </x:c>
      <x:c r="D86" s="22" t="str">
        <x:v>Exact commit plus working-tree state, artifact hashes, version equality, migration/model identifiers, environment, reviewer/date and full check receipts validated; stale/example/wrong-artifact/prefix fixtures rejected.</x:v>
      </x:c>
      <x:c r="E86" s="22" t="str">
        <x:v>Exact version-evidence parser and checks strengthened; complete artifact-bound release manifest still pending.</x:v>
      </x:c>
      <x:c r="F86" s="22" t="str">
        <x:v>No new completion claim in this increment.</x:v>
      </x:c>
      <x:c r="G86" s="22" t="str">
        <x:v>https://drive.google.com/file/d/15X3_uSbHztLL57IL_d3Xo9hc9zInJuyN/view</x:v>
      </x:c>
      <x:c r="H86" s="22" t="str">
        <x:v>scripts/release/go_no_go_check.sh:40-67,123; docs/product/face-ussd-20260920/IMPLEMENTATION_REPORT.md; audit/operations_review.md OPS-10
Original source: https://drive.google.com/file/d/13toaULZ0qSRF3mcOySrbey9WeHRMSidj/view?usp=drivesdk
https://drive.google.com/file/d/1yPZR9Gs5lDexBEVawYsye7XvWWZ4NvAj/view?usp=drivesdk</x:v>
      </x:c>
    </x:row>
    <x:row r="87" ht="174" customHeight="1">
      <x:c r="A87" s="22" t="str">
        <x:v>M082</x:v>
      </x:c>
      <x:c r="B87" s="22" t="str">
        <x:v>Core</x:v>
      </x:c>
      <x:c r="C87" s="22" t="str">
        <x:v>Dependency security</x:v>
      </x:c>
      <x:c r="D87" s="22" t="str">
        <x:v>Deno/Node/pnpm/Wrangler/container toolchain fixed to tested versions; update coverage and actual advisory triage documented; clean builds reproduce; upgrades are risk-reviewed rather than indiscriminate.</x:v>
      </x:c>
      <x:c r="E87" s="22" t="str">
        <x:v>Additional dependency/toolchain pinning and update coverage added; complete advisory/SBOM review pending.</x:v>
      </x:c>
      <x:c r="F87" s="22" t="str">
        <x:v>No new completion claim in this increment.</x:v>
      </x:c>
      <x:c r="G87" s="22" t="str">
        <x:v>https://drive.google.com/file/d/15X3_uSbHztLL57IL_d3Xo9hc9zInJuyN/view</x:v>
      </x:c>
      <x:c r="H87" s="22" t="str">
        <x:v>.github/dependabot.yml; .github/workflows; cloudflare/face-service/package.json; services/face-inference; audit/operations_review.md OPS-08
Original source: https://drive.google.com/file/d/1_LsmRout-ReXNuDQEpeAFl8lTKtAAImX/view?usp=drivesdk
https://drive.google.com/drive/folders/1kQsuocMDtXnp20aRwLKuojC9WoYP7bjd</x:v>
      </x:c>
    </x:row>
    <x:row r="88" ht="174" customHeight="1">
      <x:c r="A88" s="22" t="str">
        <x:v>M083</x:v>
      </x:c>
      <x:c r="B88" s="22" t="str">
        <x:v>Core</x:v>
      </x:c>
      <x:c r="C88" s="22" t="str">
        <x:v>Supply-chain records</x:v>
      </x:c>
      <x:c r="D88" s="22" t="str">
        <x:v>Distributed artifact SBOM and provenance verify against release hashes; model/SDK licences archived; symbol/source-map access and crash symbolication tested for supported versions.</x:v>
      </x:c>
      <x:c r="E88" s="22" t="str">
        <x:v>No completion claimed by these increments. Original audit acceptance criteria remain applicable.</x:v>
      </x:c>
      <x:c r="F88" s="22" t="str">
        <x:v>No new completion claim in this increment.</x:v>
      </x:c>
      <x:c r="G88" s="22" t="str">
        <x:v>https://drive.google.com/file/d/15X3_uSbHztLL57IL_d3Xo9hc9zInJuyN/view</x:v>
      </x:c>
      <x:c r="H88" s="22" t="str">
        <x:v>audit/operations_review.md OPS-08,O16; https://docs.github.com/en/actions/concepts/security/artifact-attestations</x:v>
      </x:c>
    </x:row>
    <x:row r="89" ht="174" customHeight="1">
      <x:c r="A89" s="22" t="str">
        <x:v>M084</x:v>
      </x:c>
      <x:c r="B89" s="22" t="str">
        <x:v>Core</x:v>
      </x:c>
      <x:c r="C89" s="22" t="str">
        <x:v>Observability</x:v>
      </x:c>
      <x:c r="D89" s="22" t="str">
        <x:v>Dashboards cover auth, latency/errors, face busy/cleanup, receipt-to-credit, notification backlog, crashes/ANRs and stale presence; named owners/budgets; induced failure alerts correctly with no raw faces, vectors, OTPs or financial identifiers.</x:v>
      </x:c>
      <x:c r="E89" s="22" t="str">
        <x:v>No completion claimed by these increments. Original audit acceptance criteria remain applicable.</x:v>
      </x:c>
      <x:c r="F89" s="22" t="str">
        <x:v>No new completion claim in this increment.</x:v>
      </x:c>
      <x:c r="G89" s="22" t="str">
        <x:v>https://drive.google.com/file/d/15X3_uSbHztLL57IL_d3Xo9hc9zInJuyN/view</x:v>
      </x:c>
      <x:c r="H89" s="22" t="str">
        <x:v>cloudflare/face-service/wrangler.jsonc:8; services/face-inference/server.py:7; docs/operations/README.md; audit/operations_review.md OPS-06
Original source: https://drive.google.com/file/d/10XfUXtvPdRtBHiWA9yhRro_v6glk8XvJ/view?usp=drivesdk
https://drive.google.com/file/d/1UjDIz7n8Uk4OhFXYNLmB3vShd_P1ziTY/view?usp=drivesdk</x:v>
      </x:c>
    </x:row>
    <x:row r="90" ht="174" customHeight="1">
      <x:c r="A90" s="22" t="str">
        <x:v>M085</x:v>
      </x:c>
      <x:c r="B90" s="22" t="str">
        <x:v>Core</x:v>
      </x:c>
      <x:c r="C90" s="22" t="str">
        <x:v>Recovery</x:v>
      </x:c>
      <x:c r="D90" s="22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E90" s="22" t="str">
        <x:v>No completion claimed by these increments. Original audit acceptance criteria remain applicable.</x:v>
      </x:c>
      <x:c r="F90" s="22" t="str">
        <x:v>No new completion claim in this increment.</x:v>
      </x:c>
      <x:c r="G90" s="22" t="str">
        <x:v>https://drive.google.com/file/d/15X3_uSbHztLL57IL_d3Xo9hc9zInJuyN/view</x:v>
      </x:c>
      <x:c r="H90" s="22" t="str">
        <x:v>docs/operations/face-ussd-runbook.md; audit/operations_review.md OPS-07; https://supabase.com/docs/guides/platform/backups
Original source: https://drive.google.com/file/d/1vZVjzSVzBGDPvEDyH5wTO996VJbSCDGt/view?usp=drivesdk
https://drive.google.com/drive/folders/1VeEGNOl32YcDgwjU7FZhqwcj_7Vyqy6c</x:v>
      </x:c>
    </x:row>
    <x:row r="91" ht="174" customHeight="1">
      <x:c r="A91" s="22" t="str">
        <x:v>M086</x:v>
      </x:c>
      <x:c r="B91" s="22" t="str">
        <x:v>Core</x:v>
      </x:c>
      <x:c r="C91" s="22" t="str">
        <x:v>Incident response</x:v>
      </x:c>
      <x:c r="D91" s="22" t="str">
        <x:v>Tabletop covers key exposure, wrong credit, lost collector and biometric/PII event; evidence preservation, containment and contacts tested; applicable Rwanda 48-hour notice/72-hour report clocks reviewed by counsel.</x:v>
      </x:c>
      <x:c r="E91" s="22" t="str">
        <x:v>No completion claimed by these increments. Original audit acceptance criteria remain applicable.</x:v>
      </x:c>
      <x:c r="F91" s="22" t="str">
        <x:v>No new completion claim in this increment.</x:v>
      </x:c>
      <x:c r="G91" s="22" t="str">
        <x:v>https://drive.google.com/file/d/15X3_uSbHztLL57IL_d3Xo9hc9zInJuyN/view</x:v>
      </x:c>
      <x:c r="H91" s="22" t="str">
        <x:v>audit/privacy_review.md PR-T19; audit/operations_review.md OPS-06; Rwanda Law 058/2021 Arts 43-44
Official source: https://cyber.gov.rw/fileadmin/user_upload/NCSA/Documents/Laws/OG_Special_of_15.10.2021_Amakuru_bwite.pdf</x:v>
      </x:c>
    </x:row>
    <x:row r="92" ht="174" customHeight="1">
      <x:c r="A92" s="22" t="str">
        <x:v>M087</x:v>
      </x:c>
      <x:c r="B92" s="22" t="str">
        <x:v>Core</x:v>
      </x:c>
      <x:c r="C92" s="22" t="str">
        <x:v>Rollout and rollback</x:v>
      </x:c>
      <x:c r="D92" s="22" t="str">
        <x:v>Internal/staged promotion uses defined stop criteria; last-known-good artifacts/configs identified; schema compatibility or forward repair tested; face can be disabled while accepted manual/QR flows continue.</x:v>
      </x:c>
      <x:c r="E92" s="22" t="str">
        <x:v>No completion claimed by these increments. Original audit acceptance criteria remain applicable.</x:v>
      </x:c>
      <x:c r="F92" s="22" t="str">
        <x:v>No new completion claim in this increment.</x:v>
      </x:c>
      <x:c r="G92" s="22" t="str">
        <x:v>https://drive.google.com/file/d/15X3_uSbHztLL57IL_d3Xo9hc9zInJuyN/view</x:v>
      </x:c>
      <x:c r="H92" s="22" t="str">
        <x:v>docs/operations/face-ussd-runbook.md; .github/workflows/android-release.yml; audit/operations_review.md O19
Original source: https://drive.google.com/file/d/1w_uWBznlC3jNzjHFewL1FSjnmE9qVCmO/view?usp=drivesdk
https://drive.google.com/file/d/1vZVjzSVzBGDPvEDyH5wTO996VJbSCDGt/view?usp=drivesdk</x:v>
      </x:c>
    </x:row>
    <x:row r="93" ht="174" customHeight="1">
      <x:c r="A93" s="22" t="str">
        <x:v>M088</x:v>
      </x:c>
      <x:c r="B93" s="22" t="str">
        <x:v>Core</x:v>
      </x:c>
      <x:c r="C93" s="22" t="str">
        <x:v>Launch acceptance</x:v>
      </x:c>
      <x:c r="D93" s="22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E93" s="22" t="str">
        <x:v>No completion claimed by these increments. Original audit acceptance criteria remain applicable.</x:v>
      </x:c>
      <x:c r="F93" s="22" t="str">
        <x:v>No new completion claim in this increment.</x:v>
      </x:c>
      <x:c r="G93" s="22" t="str">
        <x:v>https://drive.google.com/file/d/15X3_uSbHztLL57IL_d3Xo9hc9zInJuyN/view</x:v>
      </x:c>
      <x:c r="H93" s="22" t="str">
        <x:v>audit/platform_review.md device matrix; audit/flutter_review.md acceptance; audit/validation_review.md section 3; docs/product/face-ussd-20260920/IMPLEMENTATION_REPORT.md
Original source: https://drive.google.com/file/d/13toaULZ0qSRF3mcOySrbey9WeHRMSidj/view?usp=drivesdk</x:v>
      </x:c>
    </x:row>
    <x:row r="94" ht="174" customHeight="1">
      <x:c r="A94" s="22" t="str">
        <x:v>M089</x:v>
      </x:c>
      <x:c r="B94" s="22" t="str">
        <x:v>Core</x:v>
      </x:c>
      <x:c r="C94" s="22" t="str">
        <x:v>Support and moderation</x:v>
      </x:c>
      <x:c r="D94" s="22" t="str">
        <x:v>Named queues/response targets and escalation paths; staged report/block/unblock, lost WhatsApp access, deletion and disputed receipt drills close with an audit trail; no PIN collection or improvised auth bypass.</x:v>
      </x:c>
      <x:c r="E94" s="22" t="str">
        <x:v>No completion claimed by these increments. Original audit acceptance criteria remain applicable.</x:v>
      </x:c>
      <x:c r="F94" s="22" t="str">
        <x:v>No new completion claim in this increment.</x:v>
      </x:c>
      <x:c r="G94" s="22" t="str">
        <x:v>https://drive.google.com/file/d/15X3_uSbHztLL57IL_d3Xo9hc9zInJuyN/view</x:v>
      </x:c>
      <x:c r="H94" s="22" t="str">
        <x:v>lib/features/chat/data/chat_service.dart:63-143; lib/features/chat/presentation/chat_screen.dart; docs/operations/README.md; audit/flutter_review.md strengths; audit/privacy_review.md section 4
Original source: https://drive.google.com/file/d/12n5FHLFgRu9NPOsRAb9HFFgWAIIaol3b/view?usp=drivesdk
https://drive.google.com/file/d/1BrgbaLACv8-s6Hop1vdwBt8E9gvQ61E_/view?usp=drivesdk</x:v>
      </x:c>
    </x:row>
    <x:row r="95" ht="174" customHeight="1">
      <x:c r="A95" s="22" t="str">
        <x:v>M090</x:v>
      </x:c>
      <x:c r="B95" s="22" t="str">
        <x:v>Core</x:v>
      </x:c>
      <x:c r="C95" s="22" t="str">
        <x:v>Source and scope documentation</x:v>
      </x:c>
      <x:c r="D95" s="22" t="str">
        <x:v>Source, generated files and intentionally retained release evidence separated without indiscriminate deletion; exact provenance/dirty state recorded; current scope links superseded documents; clean checkout reproduces required builds.</x:v>
      </x:c>
      <x:c r="E95" s="22" t="str">
        <x:v>Versioned hardening manifest/evidence package produced; canonical repository/source-scope cleanup remains.</x:v>
      </x:c>
      <x:c r="F95" s="22" t="str">
        <x:v>New delta/cumulative overlays, before/after hashes, guarded applier, source provenance and evidence logs packaged.</x:v>
      </x:c>
      <x:c r="G95" s="22" t="str">
        <x:v>https://drive.google.com/file/d/15X3_uSbHztLL57IL_d3Xo9hc9zInJuyN/view</x:v>
      </x:c>
      <x:c r="H95" s="22" t="str">
        <x:v>audit/git_index_inventory.json; audit/root_inventory.json; README.md; AGENTS.md; docs/product/face-ussd-20260920/APPROVAL.md; audit/operations_review.md OPS-12
Original source: https://drive.google.com/file/d/1Ql7MVmCXqbgiB8DwU11kDXAjNmRtYF-k/view?usp=drivesdk
https://drive.google.com/file/d/1vnBbpRv1TLxzzBiWw9oHhqdKtdegRYSa/view?usp=drivesdk</x:v>
      </x:c>
    </x:row>
    <x:row r="96" ht="174" customHeight="1">
      <x:c r="A96" s="22" t="str">
        <x:v>M091</x:v>
      </x:c>
      <x:c r="B96" s="22" t="str">
        <x:v>Core</x:v>
      </x:c>
      <x:c r="C96" s="22" t="str">
        <x:v>Provider resilience and budgets</x:v>
      </x:c>
      <x:c r="D96" s="22" t="str">
        <x:v>Shared per-user/device/collector admission and cost limits survive cold starts; deadlines, bounded retries and circuit recovery tested; legitimate outage recovery works; retired route computation stays retired.</x:v>
      </x:c>
      <x:c r="E96" s="22" t="str">
        <x:v>Unapproved sender, missing merchant policy and disabled allocation stop AI parsing before provider disclosure. Retry/response/connect/read bounds added; overall wall-clock deadline and full durable provider budget work remain open.</x:v>
      </x:c>
      <x:c r="F96" s="22" t="str">
        <x:v>Bounded batch/queue capacity, worker concurrency and fixed-hour parser budget implemented in the SQL candidate; bounded trigger supplied.</x:v>
      </x:c>
      <x:c r="G96" s="22" t="str">
        <x:v>https://drive.google.com/file/d/15X3_uSbHztLL57IL_d3Xo9hc9zInJuyN/view</x:v>
      </x:c>
      <x:c r="H96" s="22" t="str">
        <x:v>supabase/functions/maps-gateway/index.ts:52-85,244-255; supabase/functions/_shared/whatsapp-cloud.ts; audit/backend_review.md B-09,B-T15,B-T17
Original source: https://drive.google.com/file/d/12qJwdf1UXnXqeY3d1I9ttnFYZhMZ77pT/view?usp=drivesdk
https://drive.google.com/file/d/190BYE2qz7Hc58j2hl-xYbAf9ELpsk-2j/view?usp=drivesdk</x:v>
      </x:c>
    </x:row>
    <x:row r="97" ht="174" customHeight="1">
      <x:c r="A97" s="22" t="str">
        <x:v>M092</x:v>
      </x:c>
      <x:c r="B97" s="22" t="str">
        <x:v>Core</x:v>
      </x:c>
      <x:c r="C97" s="22" t="str">
        <x:v>Notification delivery</x:v>
      </x:c>
      <x:c r="D97" s="22" t="str">
        <x:v>Notification/token idempotency, lease recovery, TTL, consent, backoff and invalid-token removal work under duplicate dispatch/provider outage; backlog age is visible; no unbounded OAuth/send loop.</x:v>
      </x:c>
      <x:c r="E97" s="22" t="str">
        <x:v>No completion claimed by these increments. Original audit acceptance criteria remain applicable.</x:v>
      </x:c>
      <x:c r="F97" s="22" t="str">
        <x:v>No new completion claim in this increment.</x:v>
      </x:c>
      <x:c r="G97" s="22" t="str">
        <x:v>https://drive.google.com/file/d/15X3_uSbHztLL57IL_d3Xo9hc9zInJuyN/view</x:v>
      </x:c>
      <x:c r="H97" s="22" t="str">
        <x:v>supabase/migrations/20260914203228_repair_notification_trigger_http_dispatch.sql; supabase/functions/send-push/index.ts:363-462; audit/backend_review.md B-12
Original source: https://drive.google.com/file/d/1_8s_2FN71Qop1DxBFlwWEyQKzj6-S_EG/view?usp=drivesdk
https://drive.google.com/file/d/16QDr4XE1T00Pm357hzMubBmi_sn1Op11/view?usp=drivesdk</x:v>
      </x:c>
    </x:row>
    <x:row r="98" ht="174" customHeight="1">
      <x:c r="A98" s="22" t="str">
        <x:v>M093</x:v>
      </x:c>
      <x:c r="B98" s="22" t="str">
        <x:v>Core</x:v>
      </x:c>
      <x:c r="C98" s="22" t="str">
        <x:v>Database performance</x:v>
      </x:c>
      <x:c r="D98" s="22" t="str">
        <x:v>Representative cardinalities and concurrency with EXPLAIN/query statistics meet chosen latency budget; indexes/caps/pagination based on measured plans; retention does not break reconciliation or deletion.</x:v>
      </x:c>
      <x:c r="E98" s="22" t="str">
        <x:v>No completion claimed by these increments. Original audit acceptance criteria remain applicable.</x:v>
      </x:c>
      <x:c r="F98" s="22" t="str">
        <x:v>No new completion claim in this increment.</x:v>
      </x:c>
      <x:c r="G98" s="22" t="str">
        <x:v>https://drive.google.com/file/d/15X3_uSbHztLL57IL_d3Xo9hc9zInJuyN/view</x:v>
      </x:c>
      <x:c r="H98" s="22" t="str">
        <x:v>supabase/migrations/20260915003031_harden_driver_discovery_identity.sql; audit/backend_review.md B-07,B-T23; audit/flutter_review.md FL-12
Original source: https://drive.google.com/file/d/13WznvHZhWTofuAfvMnxlKTPdDtwfs6AX/view?usp=drivesdk</x:v>
      </x:c>
    </x:row>
    <x:row r="99" ht="174" customHeight="1">
      <x:c r="A99" s="22" t="str">
        <x:v>M094</x:v>
      </x:c>
      <x:c r="B99" s="22" t="str">
        <x:v>Core</x:v>
      </x:c>
      <x:c r="C99" s="22" t="str">
        <x:v>Operating economics</x:v>
      </x:c>
      <x:c r="D99" s="22" t="str">
        <x:v>Current account tariffs and observed requests per successful journey drive low/base/peak forecast; budget alerts and owner-approved service caps tested; no invented Rwanda rate or fixed per-scan promise.</x:v>
      </x:c>
      <x:c r="E99" s="22" t="str">
        <x:v>No completion claimed by these increments. Original audit acceptance criteria remain applicable.</x:v>
      </x:c>
      <x:c r="F99" s="22" t="str">
        <x:v>No new completion claim in this increment.</x:v>
      </x:c>
      <x:c r="G99" s="22" t="str">
        <x:v>https://drive.google.com/file/d/15X3_uSbHztLL57IL_d3Xo9hc9zInJuyN/view</x:v>
      </x:c>
      <x:c r="H99" s="22" t="str">
        <x:v>audit/operations_review.md OPS-05; audit/privacy_review.md section 4; https://developers.cloudflare.com/containers/platform/pricing/; https://whatsappbusiness.com/products/platform-pricing/
Original source: https://drive.google.com/drive/folders/1IOYNDX1ALDVg9Mx6zXM1yZe8HP0xl7CG</x:v>
      </x:c>
    </x:row>
    <x:row r="100" ht="174" customHeight="1">
      <x:c r="A100" s="22" t="str">
        <x:v>M095</x:v>
      </x:c>
      <x:c r="B100" s="22" t="str">
        <x:v>Face</x:v>
      </x:c>
      <x:c r="C100" s="22" t="str">
        <x:v>Measured optimization</x:v>
      </x:c>
      <x:c r="D100" s="22" t="str">
        <x:v>Measured bottleneck and benefit threshold documented; bounded pool or compatibility-cache change preserves model/consent correctness and cost cap; before/after load and failure results demonstrate improvement.</x:v>
      </x:c>
      <x:c r="E100" s="22" t="str">
        <x:v>No completion claimed by these increments. Original audit acceptance criteria remain applicable.</x:v>
      </x:c>
      <x:c r="F100" s="22" t="str">
        <x:v>No new completion claim in this increment.</x:v>
      </x:c>
      <x:c r="G100" s="22" t="str">
        <x:v>https://drive.google.com/file/d/15X3_uSbHztLL57IL_d3Xo9hc9zInJuyN/view</x:v>
      </x:c>
      <x:c r="H100" s="22" t="str">
        <x:v>cloudflare/face-service/src/handler.ts:90-165; services/face-inference/inference.py; audit/operations_review.md OPS-05; https://developers.cloudflare.com/containers/configuration/scaling-and-routing/
Original source: https://drive.google.com/file/d/1ZMe2Z6-28lqVhf4GD24uS02hOaPsgsYZ/view?usp=drivesdk
https://drive.google.com/file/d/140d2FVWo8zH96uUG9K55Svsd5twTSLzR/view?usp=drivesdk</x:v>
      </x:c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24c1761f27954a1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14" hidden="0" customWidth="1"/>
    <x:col min="4" max="4" width="40" hidden="0" customWidth="1"/>
    <x:col min="5" max="5" width="40" hidden="0" customWidth="1"/>
  </x:cols>
  <x:sheetData>
    <x:row r="1" ht="32" customHeight="1">
      <x:c r="A1" s="6" t="str">
        <x:v>Verification | Increment06 execution boundaries</x:v>
      </x:c>
      <x:c r="B1" s="6"/>
      <x:c r="C1" s="6"/>
      <x:c r="D1" s="6"/>
      <x:c r="E1" s="6"/>
    </x:row>
    <x:row r="2">
      <x:c r="A2" s="2"/>
      <x:c r="B2" s="2"/>
      <x:c r="C2" s="2"/>
      <x:c r="D2" s="2"/>
      <x:c r="E2" s="2"/>
    </x:row>
    <x:row r="3" ht="36" customHeight="1">
      <x:c r="A3" s="11" t="str">
        <x:v>Tooling/source checks, prior regressions and unexecuted new chat runtime lanes are separated.</x:v>
      </x:c>
      <x:c r="B3" s="11"/>
      <x:c r="C3" s="11"/>
      <x:c r="D3" s="11"/>
      <x:c r="E3" s="11"/>
    </x:row>
    <x:row r="4">
      <x:c r="A4" s="2"/>
      <x:c r="B4" s="2"/>
      <x:c r="C4" s="2"/>
      <x:c r="D4" s="2"/>
      <x:c r="E4" s="2"/>
    </x:row>
    <x:row r="5" ht="32" customHeight="1">
      <x:c r="A5" s="17" t="str">
        <x:v>Lane</x:v>
      </x:c>
      <x:c r="B5" s="17" t="str">
        <x:v>Result</x:v>
      </x:c>
      <x:c r="C5" s="17" t="str">
        <x:v>Count</x:v>
      </x:c>
      <x:c r="D5" s="17" t="str">
        <x:v>Boundary / qualification</x:v>
      </x:c>
      <x:c r="E5" s="17" t="str">
        <x:v>Evidence</x:v>
      </x:c>
    </x:row>
    <x:row r="6" ht="58" customHeight="1">
      <x:c r="A6" s="22" t="str">
        <x:v>New guarded source applier</x:v>
      </x:c>
      <x:c r="B6" s="22" t="str">
        <x:v>PASS</x:v>
      </x:c>
      <x:c r="C6" s="22" t="n">
        <x:v>11</x:v>
      </x:c>
      <x:c r="D6" s="22" t="str">
        <x:v>Actual temporary-file, drift, path, symlink and repeated-apply tests.</x:v>
      </x:c>
      <x:c r="E6" s="22" t="str">
        <x:v>evidence/new_applier.txt</x:v>
      </x:c>
    </x:row>
    <x:row r="7" ht="58" customHeight="1">
      <x:c r="A7" s="22" t="str">
        <x:v>New database-runner input guards</x:v>
      </x:c>
      <x:c r="B7" s="22" t="str">
        <x:v>PASS</x:v>
      </x:c>
      <x:c r="C7" s="22" t="n">
        <x:v>10</x:v>
      </x:c>
      <x:c r="D7" s="22" t="str">
        <x:v>Official immutable image-name validation only; not SQL execution.</x:v>
      </x:c>
      <x:c r="E7" s="22" t="str">
        <x:v>evidence/new_contracts_final.txt</x:v>
      </x:c>
    </x:row>
    <x:row r="8" ht="58" customHeight="1">
      <x:c r="A8" s="22" t="str">
        <x:v>New static source contracts</x:v>
      </x:c>
      <x:c r="B8" s="22" t="str">
        <x:v>PASS</x:v>
      </x:c>
      <x:c r="C8" s="22" t="n">
        <x:v>18</x:v>
      </x:c>
      <x:c r="D8" s="22" t="str">
        <x:v>Text/source assertions only; not Dart compilation or database behavior.</x:v>
      </x:c>
      <x:c r="E8" s="22" t="str">
        <x:v>evidence/new_contracts_final.txt</x:v>
      </x:c>
    </x:row>
    <x:row r="9" ht="58" customHeight="1">
      <x:c r="A9" s="22" t="str">
        <x:v>Prior Python regressions rerun</x:v>
      </x:c>
      <x:c r="B9" s="22" t="str">
        <x:v>PASS</x:v>
      </x:c>
      <x:c r="C9" s="22" t="n">
        <x:v>177</x:v>
      </x:c>
      <x:c r="D9" s="22" t="str">
        <x:v>Mixed executable fixtures and static assertions; corrected final manifest expectation.</x:v>
      </x:c>
      <x:c r="E9" s="22" t="str">
        <x:v>evidence/python_regressions_results_final.json</x:v>
      </x:c>
    </x:row>
    <x:row r="10" ht="58" customHeight="1">
      <x:c r="A10" s="22" t="str">
        <x:v>Prior Node pure-module regressions</x:v>
      </x:c>
      <x:c r="B10" s="22" t="str">
        <x:v>PASS</x:v>
      </x:c>
      <x:c r="C10" s="22" t="n">
        <x:v>66</x:v>
      </x:c>
      <x:c r="D10" s="22" t="str">
        <x:v>Existing module logic; not new chat Dart logic.</x:v>
      </x:c>
      <x:c r="E10" s="22" t="str">
        <x:v>evidence/node_pure.txt</x:v>
      </x:c>
    </x:row>
    <x:row r="11" ht="58" customHeight="1">
      <x:c r="A11" s="22" t="str">
        <x:v>Prior Node handler regressions</x:v>
      </x:c>
      <x:c r="B11" s="22" t="str">
        <x:v>PASS</x:v>
      </x:c>
      <x:c r="C11" s="22" t="n">
        <x:v>138</x:v>
      </x:c>
      <x:c r="D11" s="22" t="str">
        <x:v>Actual existing TS handlers; explicit Auth/database/SDK substitutes.</x:v>
      </x:c>
      <x:c r="E11" s="22" t="str">
        <x:v>evidence/node_handlers_final.txt</x:v>
      </x:c>
    </x:row>
    <x:row r="12" ht="58" customHeight="1">
      <x:c r="A12" s="22" t="str">
        <x:v>Prior bounded inference HTTP</x:v>
      </x:c>
      <x:c r="B12" s="22" t="str">
        <x:v>PASS</x:v>
      </x:c>
      <x:c r="C12" s="22" t="n">
        <x:v>16</x:v>
      </x:c>
      <x:c r="D12" s="22" t="str">
        <x:v>Actual HTTP behavior with a fake inference model.</x:v>
      </x:c>
      <x:c r="E12" s="22" t="str">
        <x:v>evidence/http_regressions.txt</x:v>
      </x:c>
    </x:row>
    <x:row r="13" ht="58" customHeight="1">
      <x:c r="A13" s="22" t="str">
        <x:v>Prior NFC Kotlin policy</x:v>
      </x:c>
      <x:c r="B13" s="22" t="str">
        <x:v>PASS</x:v>
      </x:c>
      <x:c r="C13" s="22" t="n">
        <x:v>20</x:v>
      </x:c>
      <x:c r="D13" s="22" t="str">
        <x:v>Compiled JVM policy; no Android device.</x:v>
      </x:c>
      <x:c r="E13" s="22" t="str">
        <x:v>evidence/nfc_results.txt</x:v>
      </x:c>
    </x:row>
    <x:row r="14" ht="58" customHeight="1">
      <x:c r="A14" s="22" t="str">
        <x:v>Prior collector Kotlin policies/leases</x:v>
      </x:c>
      <x:c r="B14" s="22" t="str">
        <x:v>PASS</x:v>
      </x:c>
      <x:c r="C14" s="22" t="n">
        <x:v>38</x:v>
      </x:c>
      <x:c r="D14" s="22" t="str">
        <x:v>Compiled pure Kotlin and OS/cross-process leases; no WorkManager device.</x:v>
      </x:c>
      <x:c r="E14" s="22" t="str">
        <x:v>evidence/collector_results.txt</x:v>
      </x:c>
    </x:row>
    <x:row r="15" ht="58" customHeight="1">
      <x:c r="A15" s="22" t="str">
        <x:v>Source patch, applier and checksums</x:v>
      </x:c>
      <x:c r="B15" s="22" t="str">
        <x:v>PASS</x:v>
      </x:c>
      <x:c r="C15" s="22"/>
      <x:c r="D15" s="22" t="str">
        <x:v>Exact delivered delta checked/applied twice and independently git-applied; file hashes verified.</x:v>
      </x:c>
      <x:c r="E15" s="22" t="str">
        <x:v>evidence/package_integration.json</x:v>
      </x:c>
    </x:row>
    <x:row r="16" ht="58" customHeight="1">
      <x:c r="A16" s="22" t="str">
        <x:v>Configuration/source syntax</x:v>
      </x:c>
      <x:c r="B16" s="22" t="str">
        <x:v>PASS</x:v>
      </x:c>
      <x:c r="C16" s="22"/>
      <x:c r="D16" s="22" t="str">
        <x:v>Action pins, forward-body hash plan, Python/shell/YAML checks; no applied migration.</x:v>
      </x:c>
      <x:c r="E16" s="22" t="str">
        <x:v>evidence/source_syntax.json</x:v>
      </x:c>
    </x:row>
    <x:row r="17" ht="58" customHeight="1">
      <x:c r="A17" s="22" t="str">
        <x:v>New PostgreSQL17 chat component</x:v>
      </x:c>
      <x:c r="B17" s="22" t="str">
        <x:v>UNAVAILABLE</x:v>
      </x:c>
      <x:c r="C17" s="22" t="n">
        <x:v>0</x:v>
      </x:c>
      <x:c r="D17" s="22" t="str">
        <x:v>Docker unavailable; authored SQL/parallel-session tests not executed.</x:v>
      </x:c>
      <x:c r="E17" s="22" t="str">
        <x:v>evidence/chat_postgres_check.txt</x:v>
      </x:c>
    </x:row>
    <x:row r="18" ht="58" customHeight="1">
      <x:c r="A18" s="22" t="str">
        <x:v>New Flutter/Dart chat suites</x:v>
      </x:c>
      <x:c r="B18" s="22" t="str">
        <x:v>NOT RUN</x:v>
      </x:c>
      <x:c r="C18" s="22" t="n">
        <x:v>0</x:v>
      </x:c>
      <x:c r="D18" s="22" t="str">
        <x:v>Runtime/compiler unavailable. Includes delivery, history, realtime, UI and account-race tests.</x:v>
      </x:c>
      <x:c r="E18" s="22" t="str">
        <x:v>test/increment06/ and test/features/chat/</x:v>
      </x:c>
    </x:row>
    <x:row r="19" ht="58" customHeight="1">
      <x:c r="A19" s="22" t="str">
        <x:v>Full schema / real Auth / PostgREST</x:v>
      </x:c>
      <x:c r="B19" s="22" t="str">
        <x:v>NOT RUN</x:v>
      </x:c>
      <x:c r="C19" s="22" t="n">
        <x:v>0</x:v>
      </x:c>
      <x:c r="D19" s="22" t="str">
        <x:v>Synthetic prerequisites are not actual deployed role/financial/trigger acceptance.</x:v>
      </x:c>
      <x:c r="E19" s="22" t="str">
        <x:v>INTEGRATION_RUNBOOK.md</x:v>
      </x:c>
    </x:row>
    <x:row r="20" ht="58" customHeight="1">
      <x:c r="A20" s="22" t="str">
        <x:v>Deno / full native SDK compatibility</x:v>
      </x:c>
      <x:c r="B20" s="22" t="str">
        <x:v>NOT RUN</x:v>
      </x:c>
      <x:c r="C20" s="22" t="n">
        <x:v>0</x:v>
      </x:c>
      <x:c r="D20" s="22" t="str">
        <x:v>No new Dart, Deno or SDK compilation claim.</x:v>
      </x:c>
      <x:c r="E20" s="22" t="str">
        <x:v>INTEGRATION_RUNBOOK.md</x:v>
      </x:c>
    </x:row>
    <x:row r="21" ht="58" customHeight="1">
      <x:c r="A21" s="22" t="str">
        <x:v>Hosted CI / signed devices / deployment</x:v>
      </x:c>
      <x:c r="B21" s="22" t="str">
        <x:v>NOT RUN</x:v>
      </x:c>
      <x:c r="C21" s="22" t="n">
        <x:v>0</x:v>
      </x:c>
      <x:c r="D21" s="22" t="str">
        <x:v>No linked project, real provider, signed APK/IPA or live service changes.</x:v>
      </x:c>
      <x:c r="E21" s="22" t="str">
        <x:v>INTEGRATION_RUNBOOK.md</x:v>
      </x:c>
    </x:row>
    <x:row r="22" ht="58" customHeight="1">
      <x:c r="A22" s="22" t="str">
        <x:v>Interpretation</x:v>
      </x:c>
      <x:c r="B22" s="22" t="str">
        <x:v>LOCAL ONLY</x:v>
      </x:c>
      <x:c r="C22" s="22"/>
      <x:c r="D22" s="22" t="str">
        <x:v>494 counted checks = 39 new tooling/static + 455 prior regressions. Zero new chat SQL/Dart behavioral checks executed.</x:v>
      </x:c>
      <x:c r="E22" s="22" t="str">
        <x:v>VALIDATION_RESULTS.json</x:v>
      </x:c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  <x:row r="26">
      <x:c r="A26" s="2"/>
      <x:c r="B26" s="2"/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</x:sheetData>
  <x:mergeCells>
    <x:mergeCell ref="A1:E1"/>
    <x:mergeCell ref="A3:E3"/>
  </x:mergeCells>
  <x:conditionalFormatting sqref="B6:B22">
    <x:cfRule type="expression" dxfId="2" priority="1">
      <x:formula>B6="UNAVAILABLE"</x:formula>
    </x:cfRule>
    <x:cfRule type="expression" dxfId="3" priority="2">
      <x:formula>B6="NOT RUN"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eb34ec67e144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14" hidden="0" customWidth="1"/>
    <x:col min="4" max="4" width="40" hidden="0" customWidth="1"/>
    <x:col min="5" max="5" width="18" hidden="0" customWidth="1"/>
  </x:cols>
  <x:sheetData>
    <x:row r="1" ht="32" customHeight="1">
      <x:c r="A1" s="6" t="str">
        <x:v>Implementation workstreams | all 95 IDs retained</x:v>
      </x:c>
      <x:c r="B1" s="6"/>
      <x:c r="C1" s="6"/>
      <x:c r="D1" s="6"/>
      <x:c r="E1" s="6"/>
    </x:row>
    <x:row r="2">
      <x:c r="A2" s="2"/>
      <x:c r="B2" s="2"/>
      <x:c r="C2" s="2"/>
      <x:c r="D2" s="2"/>
      <x:c r="E2" s="2"/>
    </x:row>
    <x:row r="3" ht="36" customHeight="1">
      <x:c r="A3" s="11" t="str">
        <x:v>Workstreams cover all 95 tasks exactly once. The status column identifies the next implementation or acceptance boundary, not a promise of unattended work.</x:v>
      </x:c>
      <x:c r="B3" s="11"/>
      <x:c r="C3" s="11"/>
      <x:c r="D3" s="11"/>
      <x:c r="E3" s="11"/>
    </x:row>
    <x:row r="4">
      <x:c r="A4" s="2"/>
      <x:c r="B4" s="2"/>
      <x:c r="C4" s="2"/>
      <x:c r="D4" s="2"/>
      <x:c r="E4" s="2"/>
    </x:row>
    <x:row r="5" ht="32" customHeight="1">
      <x:c r="A5" s="17" t="str">
        <x:v>Workstream</x:v>
      </x:c>
      <x:c r="B5" s="17" t="str">
        <x:v>Task IDs</x:v>
      </x:c>
      <x:c r="C5" s="17" t="str">
        <x:v>Tasks</x:v>
      </x:c>
      <x:c r="D5" s="17" t="str">
        <x:v>Execution / acceptance state</x:v>
      </x:c>
      <x:c r="E5" s="17" t="str">
        <x:v>Advanced now</x:v>
      </x:c>
    </x:row>
    <x:row r="6" ht="90" customHeight="1">
      <x:c r="A6" s="22" t="str">
        <x:v>Access and release containment</x:v>
      </x:c>
      <x:c r="B6" s="22" t="str">
        <x:v>M001, M002, M080</x:v>
      </x:c>
      <x:c r="C6" s="22" t="n">
        <x:f>COUNTIF('All 95 tasks'!C6:C100,A6)</x:f>
        <x:v>3</x:v>
      </x:c>
      <x:c r="D6" s="22" t="str">
        <x:v>Owner/security action; not executed</x:v>
      </x:c>
      <x:c r="E6" s="22" t="n">
        <x:f>COUNTIFS('All 95 tasks'!C6:C100,A6,'All 95 tasks'!D6:D100,"Advanced in Increment06")</x:f>
        <x:v>0</x:v>
      </x:c>
    </x:row>
    <x:row r="7" ht="90" customHeight="1">
      <x:c r="A7" s="22" t="str">
        <x:v>Identity, admin and session safety</x:v>
      </x:c>
      <x:c r="B7" s="22" t="str">
        <x:v>M003, M004, M005, M006, M007, M008, M009, M010, M011, M012, M013, M014</x:v>
      </x:c>
      <x:c r="C7" s="22" t="n">
        <x:f>COUNTIF('All 95 tasks'!C6:C100,A7)</x:f>
        <x:v>12</x:v>
      </x:c>
      <x:c r="D7" s="22" t="str">
        <x:v>Chat authority/account cleanup source advanced; native credential storage and broad Auth acceptance open.</x:v>
      </x:c>
      <x:c r="E7" s="22" t="n">
        <x:f>COUNTIFS('All 95 tasks'!C6:C100,A7,'All 95 tasks'!D6:D100,"Advanced in Increment06")</x:f>
        <x:v>2</x:v>
      </x:c>
    </x:row>
    <x:row r="8" ht="90" customHeight="1">
      <x:c r="A8" s="22" t="str">
        <x:v>Booking, wallet and financial evidence</x:v>
      </x:c>
      <x:c r="B8" s="22" t="str">
        <x:v>M015, M016, M017, M018, M019, M020, M021, M022, M023, M024</x:v>
      </x:c>
      <x:c r="C8" s="22" t="n">
        <x:f>COUNTIF('All 95 tasks'!C6:C100,A8)</x:f>
        <x:v>10</x:v>
      </x:c>
      <x:c r="D8" s="22" t="str">
        <x:v>Wallet/reconciliation source started; real financial and operating acceptance open</x:v>
      </x:c>
      <x:c r="E8" s="22" t="n">
        <x:f>COUNTIFS('All 95 tasks'!C6:C100,A8,'All 95 tasks'!D6:D100,"Advanced in Increment06")</x:f>
        <x:v>0</x:v>
      </x:c>
    </x:row>
    <x:row r="9" ht="90" customHeight="1">
      <x:c r="A9" s="22" t="str">
        <x:v>Institutional collector and intake</x:v>
      </x:c>
      <x:c r="B9" s="22" t="str">
        <x:v>M025, M026, M027, M028, M029, M030, M031, M032, M033, M034</x:v>
      </x:c>
      <x:c r="C9" s="22" t="n">
        <x:f>COUNTIF('All 95 tasks'!C6:C100,A9)</x:f>
        <x:v>10</x:v>
      </x:c>
      <x:c r="D9" s="22" t="str">
        <x:v>Prior source retained; fleet/provider/DB acceptance open</x:v>
      </x:c>
      <x:c r="E9" s="22" t="n">
        <x:f>COUNTIFS('All 95 tasks'!C6:C100,A9,'All 95 tasks'!D6:D100,"Advanced in Increment06")</x:f>
        <x:v>0</x:v>
      </x:c>
    </x:row>
    <x:row r="10" ht="90" customHeight="1">
      <x:c r="A10" s="22" t="str">
        <x:v>Face service and matching</x:v>
      </x:c>
      <x:c r="B10" s="22" t="str">
        <x:v>M035, M036, M037, M038, M039, M040, M041, M042, M043</x:v>
      </x:c>
      <x:c r="C10" s="22" t="n">
        <x:f>COUNTIF('All 95 tasks'!C6:C100,A10)</x:f>
        <x:v>9</x:v>
      </x:c>
      <x:c r="D10" s="22" t="str">
        <x:v>Actual image/model/device acceptance and scope approval open</x:v>
      </x:c>
      <x:c r="E10" s="22" t="n">
        <x:f>COUNTIFS('All 95 tasks'!C6:C100,A10,'All 95 tasks'!D6:D100,"Advanced in Increment06")</x:f>
        <x:v>0</x:v>
      </x:c>
    </x:row>
    <x:row r="11" ht="90" customHeight="1">
      <x:c r="A11" s="22" t="str">
        <x:v>Native, operators and stores</x:v>
      </x:c>
      <x:c r="B11" s="22" t="str">
        <x:v>M044, M045, M046, M047, M048, M049, M050, M051, M052</x:v>
      </x:c>
      <x:c r="C11" s="22" t="n">
        <x:f>COUNTIF('All 95 tasks'!C6:C100,A11)</x:f>
        <x:v>9</x:v>
      </x:c>
      <x:c r="D11" s="22" t="str">
        <x:v>Signed artifacts, operator matrix and approvals open</x:v>
      </x:c>
      <x:c r="E11" s="22" t="n">
        <x:f>COUNTIFS('All 95 tasks'!C6:C100,A11,'All 95 tasks'!D6:D100,"Advanced in Increment06")</x:f>
        <x:v>0</x:v>
      </x:c>
    </x:row>
    <x:row r="12" ht="90" customHeight="1">
      <x:c r="A12" s="22" t="str">
        <x:v>Flutter, localization and accessibility</x:v>
      </x:c>
      <x:c r="B12" s="22" t="str">
        <x:v>M053, M054, M055, M056, M057, M058, M059, M060, M061, M062, M063, M064</x:v>
      </x:c>
      <x:c r="C12" s="22" t="n">
        <x:f>COUNTIF('All 95 tasks'!C6:C100,A12)</x:f>
        <x:v>12</x:v>
      </x:c>
      <x:c r="D12" s="22" t="str">
        <x:v>Chat delivery/history/account source advanced; runtime/localization/accessibility acceptance open.</x:v>
      </x:c>
      <x:c r="E12" s="22" t="n">
        <x:f>COUNTIFS('All 95 tasks'!C6:C100,A12,'All 95 tasks'!D6:D100,"Advanced in Increment06")</x:f>
        <x:v>4</x:v>
      </x:c>
    </x:row>
    <x:row r="13" ht="90" customHeight="1">
      <x:c r="A13" s="22" t="str">
        <x:v>Privacy, deletion and operating agreements</x:v>
      </x:c>
      <x:c r="B13" s="22" t="str">
        <x:v>M065, M066, M067, M068, M069, M070, M071, M072, M073</x:v>
      </x:c>
      <x:c r="C13" s="22" t="n">
        <x:f>COUNTIF('All 95 tasks'!C6:C100,A13)</x:f>
        <x:v>9</x:v>
      </x:c>
      <x:c r="D13" s="22" t="str">
        <x:v>Implementation plus qualified owner/processor decisions required</x:v>
      </x:c>
      <x:c r="E13" s="22" t="n">
        <x:f>COUNTIFS('All 95 tasks'!C6:C100,A13,'All 95 tasks'!D6:D100,"Advanced in Increment06")</x:f>
        <x:v>0</x:v>
      </x:c>
    </x:row>
    <x:row r="14" ht="90" customHeight="1">
      <x:c r="A14" s="22" t="str">
        <x:v>CI, migration and release evidence</x:v>
      </x:c>
      <x:c r="B14" s="22" t="str">
        <x:v>M074, M075, M076, M077, M078, M079, M081, M082, M083</x:v>
      </x:c>
      <x:c r="C14" s="22" t="n">
        <x:f>COUNTIF('All 95 tasks'!C6:C100,A14)</x:f>
        <x:v>9</x:v>
      </x:c>
      <x:c r="D14" s="22" t="str">
        <x:v>Body10 and chat component lane added; Docker/Flutter/hosted execution and full schema open.</x:v>
      </x:c>
      <x:c r="E14" s="22" t="n">
        <x:f>COUNTIFS('All 95 tasks'!C6:C100,A14,'All 95 tasks'!D6:D100,"Advanced in Increment06")</x:f>
        <x:v>3</x:v>
      </x:c>
    </x:row>
    <x:row r="15" ht="90" customHeight="1">
      <x:c r="A15" s="22" t="str">
        <x:v>Operations, recovery, rollout and economics</x:v>
      </x:c>
      <x:c r="B15" s="22" t="str">
        <x:v>M084, M085, M086, M087, M088, M089, M090, M091, M092, M093, M094, M095</x:v>
      </x:c>
      <x:c r="C15" s="22" t="n">
        <x:f>COUNTIF('All 95 tasks'!C6:C100,A15)</x:f>
        <x:v>12</x:v>
      </x:c>
      <x:c r="D15" s="22" t="str">
        <x:v>Delivery/budget work partial; operational execution open</x:v>
      </x:c>
      <x:c r="E15" s="22" t="n">
        <x:f>COUNTIFS('All 95 tasks'!C6:C100,A15,'All 95 tasks'!D6:D100,"Advanced in Increment06")</x:f>
        <x:v>1</x:v>
      </x:c>
    </x:row>
    <x:row r="16">
      <x:c r="A16" s="2"/>
      <x:c r="B16" s="2"/>
      <x:c r="C16" s="2"/>
      <x:c r="D16" s="2"/>
      <x:c r="E16" s="2"/>
    </x:row>
    <x:row r="17">
      <x:c r="A17" s="2"/>
      <x:c r="B17" s="2"/>
      <x:c r="C17" s="2"/>
      <x:c r="D17" s="2"/>
      <x:c r="E17" s="2"/>
    </x:row>
    <x:row r="18">
      <x:c r="A18" s="2"/>
      <x:c r="B18" s="2"/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</x:sheetData>
  <x:mergeCells>
    <x:mergeCell ref="A1:E1"/>
    <x:mergeCell ref="A3:E3"/>
  </x:mergeCells>
  <x:pageMargins left="0.7" right="0.7" top="0.75" bottom="0.75" header="0.3" footer="0.3"/>
  <x:tableParts count="1">
    <x:tablePart xmlns:r="http://schemas.openxmlformats.org/officeDocument/2006/relationships" r:id="Ra5eb880dd74e435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40" hidden="0" customWidth="1"/>
  </x:cols>
  <x:sheetData>
    <x:row r="1" ht="32" customHeight="1">
      <x:c r="A1" s="6" t="str">
        <x:v>Sources | Increment06 provenance and boundaries</x:v>
      </x:c>
      <x:c r="B1" s="6"/>
      <x:c r="C1" s="6"/>
      <x:c r="D1" s="6"/>
    </x:row>
    <x:row r="2">
      <x:c r="A2" s="2"/>
      <x:c r="B2" s="2"/>
      <x:c r="C2" s="2"/>
      <x:c r="D2" s="2"/>
    </x:row>
    <x:row r="3" ht="36" customHeight="1">
      <x:c r="A3" s="11" t="str">
        <x:v>Original files and earlier increments were not overwritten. Canonical upstream commit and complete repository reconstruction remain unverified.</x:v>
      </x:c>
      <x:c r="B3" s="11"/>
      <x:c r="C3" s="11"/>
      <x:c r="D3" s="11"/>
    </x:row>
    <x:row r="4">
      <x:c r="A4" s="2"/>
      <x:c r="B4" s="2"/>
      <x:c r="C4" s="2"/>
      <x:c r="D4" s="2"/>
    </x:row>
    <x:row r="5" ht="32" customHeight="1">
      <x:c r="A5" s="17" t="str">
        <x:v>Source</x:v>
      </x:c>
      <x:c r="B5" s="17" t="str">
        <x:v>Use</x:v>
      </x:c>
      <x:c r="C5" s="17" t="str">
        <x:v>URL / package path</x:v>
      </x:c>
      <x:c r="D5" s="17" t="str">
        <x:v>Qualification</x:v>
      </x:c>
    </x:row>
    <x:row r="6" ht="70" customHeight="1">
      <x:c r="A6" s="22" t="str">
        <x:v>Mobio source folder</x:v>
      </x:c>
      <x:c r="B6" s="22" t="str">
        <x:v>Current source scope and permission readback</x:v>
      </x:c>
      <x:c r="C6" s="22" t="str">
        <x:v>https://drive.google.com/drive/folders/120JIOTyeNX6nHaHPDqS3UgbaTWyJAE57</x:v>
      </x:c>
      <x:c r="D6" s="22" t="str">
        <x:v>Anyone-with-link writer permission rechecked 28 September; unchanged.</x:v>
      </x:c>
    </x:row>
    <x:row r="7" ht="70" customHeight="1">
      <x:c r="A7" s="22" t="str">
        <x:v>Increment06 delivery</x:v>
      </x:c>
      <x:c r="B7" s="22" t="str">
        <x:v>29 new/modified files, tests, register and evidence</x:v>
      </x:c>
      <x:c r="C7" s="22" t="str">
        <x:v>https://drive.google.com/drive/folders/1b6P3qCl5mhT_DDkcOIBVDURcN0JfqTYo</x:v>
      </x:c>
      <x:c r="D7" s="22" t="str">
        <x:v>Source candidate; new chat SQL/Dart not executed; no deployment.</x:v>
      </x:c>
    </x:row>
    <x:row r="8" ht="70" customHeight="1">
      <x:c r="A8" s="22" t="str">
        <x:v>Increment05 ZIP</x:v>
      </x:c>
      <x:c r="B8" s="22" t="str">
        <x:v>Prior 138-file cumulative overlay</x:v>
      </x:c>
      <x:c r="C8" s="22" t="str">
        <x:v>https://drive.google.com/file/d/1w5WKkkf0dwlEh-o4kx2pdjMMhHL-1Qi2/view</x:v>
      </x:c>
      <x:c r="D8" s="22" t="str">
        <x:v>Overlay, not complete standalone application.</x:v>
      </x:c>
    </x:row>
    <x:row r="9" ht="70" customHeight="1">
      <x:c r="A9" s="22" t="str">
        <x:v>Original 95-task backlog</x:v>
      </x:c>
      <x:c r="B9" s="22" t="str">
        <x:v>Preserved task/owner/dependency/acceptance rows</x:v>
      </x:c>
      <x:c r="C9" s="22" t="str">
        <x:v>https://drive.google.com/file/d/15X3_uSbHztLL57IL_d3Xo9hc9zInJuyN/view</x:v>
      </x:c>
      <x:c r="D9" s="22" t="str">
        <x:v>Original criteria kept in Acceptance and provenance.</x:v>
      </x:c>
    </x:row>
    <x:row r="10" ht="70" customHeight="1">
      <x:c r="A10" s="22" t="str">
        <x:v>Original chat dependencies</x:v>
      </x:c>
      <x:c r="B10" s="22" t="str">
        <x:v>Chat schema, Plus/block privacy and message model</x:v>
      </x:c>
      <x:c r="C10" s="22" t="str">
        <x:v>SOURCES.json</x:v>
      </x:c>
      <x:c r="D10" s="22" t="str">
        <x:v>Exact fetched IDs and local input hashes recorded.</x:v>
      </x:c>
    </x:row>
    <x:row r="11" ht="70" customHeight="1">
      <x:c r="A11" s="22" t="str">
        <x:v>Current indexed source</x:v>
      </x:c>
      <x:c r="B11" s="22" t="str">
        <x:v>Partial 358-file recovery plus selected original dependencies</x:v>
      </x:c>
      <x:c r="C11" s="22" t="str">
        <x:v>SOURCES.json</x:v>
      </x:c>
      <x:c r="D11" s="22" t="str">
        <x:v>No complete upstream main checkout/commit established; prior source reconstruction limitations retained.</x:v>
      </x:c>
    </x:row>
    <x:row r="12" ht="70" customHeight="1">
      <x:c r="A12" s="22" t="str">
        <x:v>Per-file changes</x:v>
      </x:c>
      <x:c r="B12" s="22" t="str">
        <x:v>29 before/after source hashes; cumulative overlay 163 files</x:v>
      </x:c>
      <x:c r="C12" s="22" t="str">
        <x:v>DELTA_MANIFEST.json</x:v>
      </x:c>
      <x:c r="D12" s="22" t="str">
        <x:v>Guarded applier and independent Git patch checked on reconstructed baseline.</x:v>
      </x:c>
    </x:row>
    <x:row r="13" ht="70" customHeight="1">
      <x:c r="A13" s="22" t="str">
        <x:v>Actual execution logs</x:v>
      </x:c>
      <x:c r="B13" s="22" t="str">
        <x:v>39 new tooling/static checks + 455 prior regressions</x:v>
      </x:c>
      <x:c r="C13" s="22" t="str">
        <x:v>VALIDATION_RESULTS.json / evidence/</x:v>
      </x:c>
      <x:c r="D13" s="22" t="str">
        <x:v>New chat Dart/SQL behavior, signed-device acceptance and hosted CI not run.</x:v>
      </x:c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</x:sheetData>
  <x:mergeCells>
    <x:mergeCell ref="A1:D1"/>
    <x:mergeCell ref="A3:D3"/>
  </x:mergeCells>
  <x:pageMargins left="0.7" right="0.7" top="0.75" bottom="0.75" header="0.3" footer="0.3"/>
  <x:tableParts count="1">
    <x:tablePart xmlns:r="http://schemas.openxmlformats.org/officeDocument/2006/relationships" r:id="Raaa9b934a5c84ebe"/>
  </x:tableParts>
</x:worksheet>
</file>